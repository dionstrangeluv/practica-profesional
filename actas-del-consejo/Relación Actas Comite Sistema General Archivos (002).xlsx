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javeriana\Downloads\"/>
    </mc:Choice>
  </mc:AlternateContent>
  <xr:revisionPtr revIDLastSave="0" documentId="13_ncr:1_{FCF4596E-6D6D-49E0-AA4E-2FA3BB368B28}" xr6:coauthVersionLast="47" xr6:coauthVersionMax="47" xr10:uidLastSave="{00000000-0000-0000-0000-000000000000}"/>
  <bookViews>
    <workbookView xWindow="2175" yWindow="4140" windowWidth="21480" windowHeight="11385" xr2:uid="{00000000-000D-0000-FFFF-FFFF00000000}"/>
  </bookViews>
  <sheets>
    <sheet name="marcela" sheetId="4" r:id="rId1"/>
    <sheet name="Hoja1" sheetId="1" r:id="rId2"/>
    <sheet name="Hoja2" sheetId="2" r:id="rId3"/>
    <sheet name="Hoja3" sheetId="3" r:id="rId4"/>
  </sheets>
  <definedNames>
    <definedName name="_xlnm._FilterDatabase" localSheetId="0" hidden="1">marcela!$A$8:$I$39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3" l="1"/>
  <c r="D6" i="3"/>
  <c r="D5" i="3"/>
</calcChain>
</file>

<file path=xl/sharedStrings.xml><?xml version="1.0" encoding="utf-8"?>
<sst xmlns="http://schemas.openxmlformats.org/spreadsheetml/2006/main" count="234" uniqueCount="177">
  <si>
    <t>RELACIÓN DE ACTAS DEL COMITÉ DEL SISTEMA GENERAL DE ARCHIVOS</t>
  </si>
  <si>
    <t>Nº DE ACTA</t>
  </si>
  <si>
    <t>FECHA</t>
  </si>
  <si>
    <t>ASUNTOS</t>
  </si>
  <si>
    <t>ANEXOS
relacionados</t>
  </si>
  <si>
    <t>OBSERVACIONES</t>
  </si>
  <si>
    <t>Anexo adjuntado sí/no</t>
  </si>
  <si>
    <t>Temáticas</t>
  </si>
  <si>
    <t>Propuesta de resolución de creación del CSGAPUJ</t>
  </si>
  <si>
    <t>No</t>
  </si>
  <si>
    <t>Metodología de eliminación</t>
  </si>
  <si>
    <t>Eliminación de archivos de la oficina de tesorería, la oficina de suministros, y  la oficina de costos y presupuestos y solicitud de un estudio de mercado para calcular costos y pérdidas</t>
  </si>
  <si>
    <t xml:space="preserve">Porpuesta para la eliminación de Historias Clínicas de la Fundación Instituto Naurológico de Colombia </t>
  </si>
  <si>
    <t>Popuesta y acuerdos para la eliminación de las historias clínicas de la Fundación Instituto Neurológico de Colombia.</t>
  </si>
  <si>
    <t>Informe consolidado del Proyecto</t>
  </si>
  <si>
    <t>Listado consolidado de las oficinas a las cuales se les ha aprobado sus Tablas de Retención Documental.</t>
  </si>
  <si>
    <t>Anexión de la Javeriana de Cali como la cuarta dimensión del Sistema General de Archivos de la Universidad.
Información sobre la creación de las TVD.
Eliminación de exámenes escritos y diplomas no reclamados.</t>
  </si>
  <si>
    <t>Informe economico consolidado y estadistico de mayores consultas por temas y 21 TRD consolidadas,</t>
  </si>
  <si>
    <t>Aprobación de la seccional de Cali al Sistema General de Archivos de la Universidad.
Informe de la Vicerrectoría Administrativa sobre el proyecto con Suppla.</t>
  </si>
  <si>
    <t>informes Aprendizajes, informe de proyectos especiales e informe del proyecto suppla</t>
  </si>
  <si>
    <t xml:space="preserve">Propuesta del proyecto de gestión documental
Informes de aprendizaje
Informe de proyectos especiales: Hojas de Vida de la Oficina de Relaciones Laborales, Pinacoteca, Serie Correspondencia.
Informe de avance del Proyecto de Organización de Archivos Administrativos en la Universidad </t>
  </si>
  <si>
    <t>Informe Archivos Administrativos</t>
  </si>
  <si>
    <t>Eliminación de documentos copiados en departamentos de la Universidad
Eliminación de diplomas de educación continua</t>
  </si>
  <si>
    <t>Informe avance PAA 2da. etapa, Circular N. 004/2013, Circular N. 004/2013, 3 cd TRD aprobadas por el comité</t>
  </si>
  <si>
    <t>proyecto de organización de Archivos de la Universidad, segunda etapa
eliminación de archivos</t>
  </si>
  <si>
    <t>Informe avance PAA 2da. Etapa, Informe Archivo central Cali</t>
  </si>
  <si>
    <t>Informe PAA, Ley 1712 de 2014, oficialización de 42 TRD</t>
  </si>
  <si>
    <t>Informe de avance del Proyecto de Organización de Archivos de la PUJ sede Bogotá segunda etapa
Informe de la gestión de archivos de la Javeriana Cali
Ley 1712 de 2014 (Ley de Transparencia) y Decreto 103 de 2015</t>
  </si>
  <si>
    <t>Informe AAS, Cd TRD a 2016, lista relación TRD aprobadas</t>
  </si>
  <si>
    <t xml:space="preserve"> Informe de avance del Proyecto de Organización de Archivos de la PUJ sede Bogotá, segunda etapa
Informe de la gestión de archivos de la Javeriana Cali
Maestría en Archivística Histórica y Memoria
</t>
  </si>
  <si>
    <t xml:space="preserve">Informe AAS </t>
  </si>
  <si>
    <t xml:space="preserve">Informe tercerización archivos administrativos.
Tablas de Retención Documental.
Depuración del fondo documental acumulado y eliminación de documentos de archivo </t>
  </si>
  <si>
    <t>Informe tercerización de los archivos administrativos, Plan de incentivos por aplicación de TRD, Proyecto Arboretum y la Eliminación de documentos de archivo – propuesta de eliminación</t>
  </si>
  <si>
    <t>Informe AAS</t>
  </si>
  <si>
    <t>Anexo digital</t>
  </si>
  <si>
    <t xml:space="preserve"> Informe de avance del Proyecto de Organización de Archivos de la PUJ sede Bogotá, segunda etapa</t>
  </si>
  <si>
    <r>
      <rPr>
        <sz val="10"/>
        <rFont val="Arial"/>
        <family val="2"/>
      </rPr>
      <t>Informe AAS</t>
    </r>
    <r>
      <rPr>
        <sz val="10"/>
        <color rgb="FFFF0000"/>
        <rFont val="Arial"/>
        <family val="2"/>
      </rPr>
      <t xml:space="preserve">, Informe cali </t>
    </r>
  </si>
  <si>
    <t>Lectura y aprobación del Acta N.16 del Comité
Informe tercerización archivos administrativos PUJ Bogotá
Tablas de Retención Documental
Propuestas de eliminación de documentos de archivo</t>
  </si>
  <si>
    <t xml:space="preserve">Informe AAS, Informe Cali Informe Proyecto GD, </t>
  </si>
  <si>
    <t>Informe tercerización archivos administrativos PUJ Bogotá
Tablas de Retención Documental
Aplicación de TVD
Informe ejecutivo del Proyecto de Transformación de la Gestión Organizacional</t>
  </si>
  <si>
    <t xml:space="preserve">Informe AAS- Informe Cali - Informe Proyecto Iter, </t>
  </si>
  <si>
    <t>Informe sobre la nueva contratación proveedor tercerización
Plan de incentivos
Propuesta actualización tablas de retención documental
Custodia expedientes Hojas de Vida de Trabajadores
Propuesta de eliminación documentos de archivo
Informe Ejecutivo Archivo Central Javeriana Cali</t>
  </si>
  <si>
    <t>Informes, Acta Físca firmada</t>
  </si>
  <si>
    <t>Contrato tercerización custodia de archivos administrativos
Plan de incentivos 
Tablas de Retención Documental.
Propuestas de eliminación de documentos de archivo</t>
  </si>
  <si>
    <t>Informes de la coordinación de archivos administrativos, correspondencia e impresión
Informe ejecutivo archivo central javeriana cali 
Informe ejecutivo proyecto ITER</t>
  </si>
  <si>
    <t>Acta y Anexos digital</t>
  </si>
  <si>
    <t>Informe anual del contrato de tercerización y servicios brindados a las unidades
Aprobación de TRD nuevas y actualizaciones.
Plan de incentivos</t>
  </si>
  <si>
    <t xml:space="preserve">Informes de la coordinación de archivos administrativos 
Informe archivo central javeriana cali
Informe Ejecutivo Proyecto ITER
</t>
  </si>
  <si>
    <t xml:space="preserve">Acta digital </t>
  </si>
  <si>
    <t xml:space="preserve">Informes de la Coordinación de Archivos Administrativos, Correspondencia e Impresión
Informe Archivo Central Javeriana Cali
Informe Ejecutivo Proyecto ITER
</t>
  </si>
  <si>
    <t>Revisión y aprobación de Aplicación de Tablas de Valoración Documental a las siguientes diez unidades:
1. Facultades - Facultad de Ciencias
2. Facultades - Facultad de Ciencias Económicas y Administrativas
3. Facultades - Facultad de Comunicación y Lenguajes
4. Facultades - Facultad de Educación
5. Vicerrectoría Académica – Asistencia para el Aseguramiento de la Calidad y la Gestión Curricular
6. Vicerrectoría Académica – Asistencia de Asuntos Estudiantiles
7. Vicerrectoría Académica – Oficina del Vicerrector
8. Vicerrectoría Administrativa – Dirección de Tecnologías de Información
9. Vicerrectoría Administrativa - Proyecto SIU
10. Vicerrectoría Administrativa – Servicios de Alimentación</t>
  </si>
  <si>
    <t>Aprobación de TVD</t>
  </si>
  <si>
    <t>Revisión y aprobación de Aplicación de Tablas de Valoración Documental a las siguientes once unidades:
1. Facultad de Artes
2. Facultad de Ciencias Políticas y Relaciones Internacionales
3. Facultad de Derecho Canónico
4. Facultad de Medicina
5. Facultad de Psicología
6. Facultad de Teología
7. Asistencia de Rectoría
8. Secretaría de Asuntos Internacionales
9. Asistencia de Asuntos Profesorales
10. Programa de Asesoría Familiar
11. Oficina de Construcciones</t>
  </si>
  <si>
    <t>Acta pendiente PDF firmas</t>
  </si>
  <si>
    <t xml:space="preserve">Informes de la Coordinación de Archivos. Administrativos, Correspondencia e Impresión. Informe Archivo Central Javeriana Cali. Informe Ejecutivo Proyecto ITER
</t>
  </si>
  <si>
    <t>Informes de la Coordinación de Archivos Administrativos, Correspondencia e Impresión
Informe Archivo Central Javeriana Cali
Informe Ejecutivo Proyecto ITER</t>
  </si>
  <si>
    <t>De acuerdo con el Objetivo del Comité asincrónico N. 3, se sometió a consideración, la aplicación de la Tabla de Valoración de la Facultad de Filosofía.</t>
  </si>
  <si>
    <t>1. Verificación del Quórum
2. Lectura y aprobación del Acta N. 26 de la reunión del 28 de mayo de 2021 y Acta N. 27 del Comité Asincrónico del día 28 de enero de 2022
3. Informes de la Coordinación de Gestión Documental Archivos Administrativos, Correspondencia e Impresión
4. Informe Archivo Central Javeriana Cali
5. Informe Ejecutivo Proyecto ITER
6. Varios</t>
  </si>
  <si>
    <t xml:space="preserve">pendiente firma Dr. Cifuentes acta </t>
  </si>
  <si>
    <t>Sí</t>
  </si>
  <si>
    <t xml:space="preserve">Informes de la Coordinación de Gestión Documental Archivos Administrativos, Correspondencia e Impresión
Informe Archivo Central Javeriana Cali
Informe Ejecutivo Proyecto ITER
</t>
  </si>
  <si>
    <t xml:space="preserve">pendiente lectura y firma </t>
  </si>
  <si>
    <t>Informes de la Coordinación de Gestión Documental</t>
  </si>
  <si>
    <t xml:space="preserve">En proceso </t>
  </si>
  <si>
    <t>ANEXOS</t>
  </si>
  <si>
    <t>Convocar sesión "0" para la conformación, definición de funciones y designación de miembros del Comité de Archivo de la Pontificia Universidad Javeriana para presentar la propuesta al Rector de la Universidad</t>
  </si>
  <si>
    <t>Aprobación Acta "0"; presentación de un informe detallado sobre las funciones que la empresa Suppla ha ejectutado sobre el avance del proyecto de organización de archivos sede Bogotá segunda etapa; se acordó que se revisará con la Jefe de la Oficina de Servicios Generales y con el Director de la Dirección de Recursos cómo se va a manejar de aquí en adelante, lo que salga eliminado de las oficinas dentro del campus; se acordó que los documentos y materiales para
eliminar según el resultado de la aplicación de Tablas de Valoración Documental que realice Suppla, se llevará a cabo sus bodegas.</t>
  </si>
  <si>
    <t>Se acuerda que las TRD deben contener la columna del tiempo de retención en los archivos de segunda edad o archivo central; presentación TRD de la Vicerrectoria Adminsitrativa; designación de la Bodega San Cayetano para la recepción de los archivos históricos archivos de segunda edad y de los archivos de gestión; se contrata a la empresa Kimberly para el reciclaje y eliminación de documentos como exámenes y otros tipos de documentales que resulten de la aplicación de la Tabla de Valoración en las bodegas de Suppla y en la Universidad, con previa autorización del Comité del Sistema General de Archivos de la Universidad.</t>
  </si>
  <si>
    <t>Eliminación libros de matricula, informe de avance del proyecto de Archivos Adminsitrativos - Segunda Etapa, eliminación de archivos, cambio de carpetas, presentación de las TRD de la Vicerrectoría Administrativa</t>
  </si>
  <si>
    <t xml:space="preserve">TRD aprobadas a exepción de: Oficina de Desarrollo de Planta Física y Organización y Métodos 
Informe de avance del Proyecto de Archivos Administrativos – Segunda etapa </t>
  </si>
  <si>
    <t xml:space="preserve">Propuesta de Eliminación </t>
  </si>
  <si>
    <t>Informe del proyecto por Archivo Adminsitrativo, aprobación de TRD con visto bueno de las unidades, desiciones de eliminación de archivos</t>
  </si>
  <si>
    <t>Aprobación de TRD con visto bueno, directrices para eiliminación de exámenes según procedimiento publicado SC-p42, aprobación de elaboración de indicadores de consulta archivos administrativos</t>
  </si>
  <si>
    <t xml:space="preserve">Necesidad creación sistema de gestión documental, estudio con otras Universidades y tipo s sw, oficilización de la seccional Cali en el Sistema General de Archivos de la Universidad, Informe de la Vicerrectoría Administrativa sobre el proyecto Suppla  </t>
  </si>
  <si>
    <t>Proyecto de Gestión Documental, Informe de las Reuniones participación internacional y en Red Iberoamericana de archivos, Informe de proyectos especiales, Informe del proyecto de organización de archivos Administrtivos,</t>
  </si>
  <si>
    <t xml:space="preserve">Informe del proyecto costos y general del proyecto Suppla, se aprueban 92 TRD y quedan pendientes 27 por firma del directvo </t>
  </si>
  <si>
    <t>Presentación del Informe del contrato con Suppla 30 de septiembre de 2014, se aprueban 44 TRD, Eliminación de archivos del CAA</t>
  </si>
  <si>
    <t>Avance de proyecto de organización de Archivos de la Universidad, segunda etapa. Eliminación de archivos según circular</t>
  </si>
  <si>
    <t xml:space="preserve">Avance de proyecto de organización de Archivos de la Universidad corte 21/1/2011 a 31/05/2015, depuración del fondo documental acumulado, Estado de las TRD, Eliminación de archivos según relación de anexo, informe de gestión Archivo Cali </t>
  </si>
  <si>
    <t xml:space="preserve">Informe PAA 2da. Etapa, Depuración del fondo documental, estado de tablas de retención documental, Propuesta de eliminación de archivo Instituto Geofísico, informe de gestión Archivos Cali, ley 1712 de 2014 </t>
  </si>
  <si>
    <t>Informe avance tercerización archivos administrativos, depuración del fondo acumulado, TRD para aprobar y eliminación de archivos. Informe de Gestión Arhivos Cali</t>
  </si>
  <si>
    <t>Informe archivos administrativos, tercerización, plan de incentivos para los archivos de gestion activos de la Universidad;  TRD, depusración fondos acumulados, eliminación</t>
  </si>
  <si>
    <t xml:space="preserve">Informe de tercerización, nueva contratación tercerización, TRD, intervención fondo acumulado, proyecto GD - Bogotá -Cali,manejo de información clasificado-no clasificada </t>
  </si>
  <si>
    <t xml:space="preserve">Informe de tercerización AAS, nuevo proceso de contratación, aprobación (TRD nuevas -   actualizadas) aplicación de las TVD, analisis series históricas, Eliminación de archivo, Informe Archivo central cali, informe avances proyecto de GD </t>
  </si>
  <si>
    <t>Informe nueva contratación proveedor ASE, entrega de archivos al nuevo contratista, estadisticas servicios relacioandos, plan de incentivos, propuesta actualización, TRD, análisis series históricas, custodia expedientes hoja de vida de trabajadores, eliminacion de archivos, informe javeriana Cali, Informe ITER</t>
  </si>
  <si>
    <t xml:space="preserve">Contrato tercerización custodia de archivos administrativos y servicios relacionados: Desmonte y entrega de archivos al nuevo contratista, estadísticas servicios de consulta. Plan de incentivos archivos administrativos 2018. Plan de trabajo unidades calificación insuficiente 2018.
Tablas de Retención Documental para aprobación. Mesa de trabajo análisis series históricas. Custodia expedientes hojas de vida de trabajadores. Propuestas de eliminación de documentos de archivo.
Informe ejecutivo Proyecto ITER.
</t>
  </si>
  <si>
    <t>Lectura y aprobación del Acta N. 20 (viernes 21 de febrero de 2020) Comité del SGAPUJ. Informes de la Coordinación de Archivos Administrativos CAA:
Informe anual del contrato de tercerización y servicios brindados a las unidades.
 Informe resultado análisis series históricas de la Universidad.
Aprobación de TRD nuevas y actualizaciones. Aplicación de TVD para aprobación. Presentación propuesta cambios en la metodología de aplicación de TVD de la Universidad. Propuesta plan de incentivos 2020. Eliminación de documentación facilitativa de las unidades.
Informe Ejecutivo Archivo Central Javeriana Cali. Informe Ejecutivo Proyecto ITER</t>
  </si>
  <si>
    <t>sin</t>
  </si>
  <si>
    <t>Lectura y aprobación del Acta N. 21 de sesión del Comité del SGAPUJ del viernes 21 de febrero de 2020. Informes de la Coordinación de Archivos Administrativos, Correspondencia e Impresión. Informe Archivo Central Javeriana Cali. Informe Ejecutivo Proyecto ITER. Varios</t>
  </si>
  <si>
    <t>Sesión Extraordinaria</t>
  </si>
  <si>
    <t xml:space="preserve">Lectura y aprobación de Actas:
Acta n. 22 Sesión del Comité del SGAPUJ del viernes 13 de noviembre de 2020 (enviada el 19 de noviembre de 2020)
Acta n. 23 Sesión Comité asincrónico n. 1 
Acta n. 24 Sesión Comité asincrónico n. 2.
Informes de la Coordinación de Archivos. Administrativos, Correspondencia e Impresión. Informe Archivo Central Javeriana Cali. Informe Ejecutivo Proyecto ITER
</t>
  </si>
  <si>
    <t>1. Verificación del Quórum
2. Lectura y aprobación del Acta N. 25 de la reunión del 28 de mayo de 2021
3. Informes de la Coordinación de Archivos Administrativos, Correspondencia e Impresión
4. Informe Archivo Central Javeriana Cali
5. Informe Ejecutivo Proyecto ITER
6. Varios</t>
  </si>
  <si>
    <t>no contiene anexos</t>
  </si>
  <si>
    <t xml:space="preserve">sin anexos </t>
  </si>
  <si>
    <t>Borrador en word</t>
  </si>
  <si>
    <t>Informe ASE, Iter, Falta Cali</t>
  </si>
  <si>
    <t>Aprobación Acta "0"
Presentación de un informe detallado sobre las funciones que la empresa Suppla ha ejectutado sobre el avance del proyecto de organización de archivos sede Bogotá segunda etapa
Se replantea la posibilidad de que la dirección jurídica  genere un autoservicio para la consulta de los contratos de prestación de servicios
Se acordó que se revisará con la Jefe de la Oficina de Servicios Generales y con el Director de la Dirección de Recursos cómo se va a manejar de aquí en adelante, lo que salga eliminado de las oficinas dentro del campus.
Aprobación de 38 TRD de la Vicerrectoría Administrativa.
Aprobación de la metodología de eliminación de archivos reportados por Suppla. Asimismo, los documentos y materiales para eliminar según las TVD que realice Suppla, se llevará a cabo en sus bodegas.
Revisión del manejo de reciclaje con la Jefe de la Oficina de Servicios Generales y el Director de Recursos Físicos.</t>
  </si>
  <si>
    <t>Necesidad creación sistema de gestión documental, estudio con otras Universidades y tipo s sw, oficilización de la seccional Cali en el Sistema General de Archivos de la Universidad, Informe de la Vicerrectoría Administrativa sobre el proyecto Suppla
Se expresa la necesidad de crear el Sistema de Gestión Documental de la Universidad, de la mano con otras instituciones como la Universidad Cooperativa y la Seccional Cali en este tema de
gestión documental para determinadas series documentales; así mismo revisar lo que las empresas productoras de software de gestión documental ofrecen en el mercado.
Mediante Acta 223 del 4 de abril de 2013 se aprueba la participación de la Seccional en el Sistema General de Archivos de la Universidad. 
Se reconoce que la sección de Cali posee autonomía para particularizar procesos. Sin embargo se acuerda que los puntos en común entre Bogotá y Cali son: las TVD y las TRD,  Cuadro de Clasificación Documental , los acuerdos del Comité y un concepto único de Archivo Histórico Javeriano con tres sedes.
Se presenta el informe de la Vicerrectoría Administrativa sobre el proyecto con Suppla.</t>
  </si>
  <si>
    <t>Proyecto de Gestión Documental, Informe de las Reuniones participación internacional y en Red Iberoamericana de archivos, Informe de proyectos especiales, Informe del proyecto de organización de archivos Administrtivos,
Se acuerda que, para llevar a cabo un Proyecto de Gestión Documental en la Universidad Javeriana es importante conocer implementaciones que hayan realizado instituciones, públicas y privadas, del sector educativo o fuera de él, que tengan procesos de gestión documental para poder aproximarnos a metodologias herramientas, software, etc.,  para construir un modelo de gestión y tomar la mejor decisión en cuanto a herramientas tecnológicas más adecuadas para el desarrollo del proyecto</t>
  </si>
  <si>
    <t>Informe del proyecto costos y general del proyecto Suppla, se aprueban 92 TRD y quedan pendientes 27 por firma del directivo
Se aprueba la eliminación de documentos copiados de los siguientes departamentos: Dirección deAsuntos Profesorales, Facultades de Arquitectura y Diseño, Ciencias Jurídicas, Enfermería, Medicina, Odontología, Archivo Histórico Javeriano, Oficina de Relaciones Laborales, Servicios de Alimentación y del Instituto Neurológico de Colombia.
Se aprueba la eliminación de diplomas de educación continua los cuales, como los depregrado y posgrado, deben ser transferirlos al Archivo Histórico Javeriano y una vez, cumplido el plazo de dos años, eliminar.</t>
  </si>
  <si>
    <t>Avance de proyecto de organización de Archivos de la Universidad, segunda etapa. Eliminación de archivos según circular
Presentación del Informe del Proyecto de Gestión Documental
La Coordinación de Archivos Administrativos es la encargada de pasar por las unidades con  mayor volumen para eliminar, con el fin de iniciar las depuraciones del fondo acumulado. Según la TVD se levanta un acta de aprobación de la eliminación de los volúmenes a descartar. Si hay acuerdo se firma el acta entre las partes y se remite a la Dirección Jurídica para concepto. Si no existe acuerdo con las unidades, estas deben justificar por escrito el por qué no deben eliminarse estos documentos, y se remiten igualmente estos documentos: justificación y acta para que la Dirección Jurídica emita su concepto.
los documentos aprobados para eliminar fueron formularios de inscripción, exámenes supletorios y parciales de  la oficina de Promoción Institucional, Facultad de Educación, Facultad de Arquitectura y Diseño, Centro de Gestión Cultural, el Instituto de Genética y del Departamento de Ciencias Fisiológicas de la Facultad de Medicina, historias clínicas
40 TRD aprobadas de la seccional de Cali</t>
  </si>
  <si>
    <t>Informe avance tercerización archivos administrativos, depuración del fondo acumulado, TRD para aprobar y eliminación de archivos. Informe de Gestión Arhivos Cali
En el Informe de Gestión Arhivos Cali se presentan y se aprueban 45 TRD.
Se habla sobre la maestría en Archivística Histórica y Memoria de la facultad de Ciencias Sociales y Comunicación y Lenguaje, detllando su modalidad y el número de estudiantes inscritos.</t>
  </si>
  <si>
    <t>Informe archivos administrativos, tercerización, plan de incentivos para los archivos de gestion activos de la Universidad;  TRD, depusración fondos acumulados, eliminación
Se discute el Plan de incentivos aplicación de TRD
Se señala que hay unidades en las que no se ha podido medir la aplicación delas TRD por diferentes razones y por lo tanto se están acordando planes de trabajo con ellas para implementar el próximo año y superar las dificultades. Las unidades con este problema son la Vicerrectoría Administrativa, la Facultad de Comunicación, la Facultad de Educación, la Facultad de Ciencias, en la Facultad de Artes la Carrera de Música y la Maestría en Creación Audiovisual; en la Facultad de Odontología está el Centro de Investigaciones Odontológicas, el Departamento de Sistema Dentario.
Se presenta la propuesta de eliminación de archivos en las unidades y la depuración del fondo acumulado por la aplicación de TVD</t>
  </si>
  <si>
    <t>Informe de tercerización, nueva contratación tercerización, TRD, intervención fondo acumulado, proyecto de Gestión Documental en Bogotá y Cali
Propuestas de eliminación de documentos de archivo.</t>
  </si>
  <si>
    <t>Informe de tercerización AAS, nuevo proceso de contratación, aprobación (TRD nuevas - actualizadas) aplicación de las TVD, analisis series históricas, Eliminación de archivo, Informe Archivo central cali, informe avances proyecto de GD 
En total se presentaron 24 TRDs.Para aprobación se presentan 18 TRD nuevas y 6 TRD actualizadas
La Coordinación de Archivos Administrativos propone un modelo de TRD con ocasión del Proyecto de Gestión Documental, para normalizar los tipos documentales y definirlos según su tradición, soporte, sistema transaccional, retención y disposición final, y clasificación de la
información. La propuesta se presenta al Comité y se está analizando la necesidad de definir claramente los tipos documentales para su parametrización en el software de la gestión documenal que se está proyectando en la universidad.
Presentación del Informe ejecutivo del Proyecto de Transformación de la Gestión Organizacional</t>
  </si>
  <si>
    <t>Lectura y aprobación del Acta N. 21 de sesión del Comité del SGAPUJ del viernes 21 de febrero de 2020. Informes de la Coordinación de Archivos Administrativos, Correspondencia e Impresión. 
En el Informe Archivo Central Javeriana Cali  las TRD que están publicadas en el portal web del Archivo son 119 con sus respectivos cuadros de clasificación documental. Ahora bien hay un total de 154 TRD, 77 por actualizar, 115 aprobadas, y en proceso de aprobación 39.
Están pendientes 11 TRD por elaborar en las siguientes unidades administrativas, Rectoría 5, Vicerrectoría Académica 5 y Vicerrectoría Administrativa 1, en la Facultad de Ciencias de la Salud: 5, En la Facultad de Ciencias Económicas y Administrativas: 6,   En la Facultad de Humanidades y Ciencias Sociales: 6, en la Facultad de Ingeniería y Ciencias 4, en la Facultad de Creación y Habitat 7
Informe Ejecutivo Proyecto ITER. Varios</t>
  </si>
  <si>
    <t>Lectura y aprobación de Actas:
Acta n. 22 Sesión del Comité del SGAPUJ del viernes 13 de noviembre de 2020 (enviada el 19 de noviembre de 2020)
Acta n. 23 Sesión Comité asincrónico n. 1 
Acta n. 24 Sesión Comité asincrónico n. 2.
Informes de la Coordinación de Archivos. Administrativos, Correspondencia e Impresión. Informe Archivo Central Javeriana Cali. Informe Ejecutivo Proyecto ITER
Aprobación de 20 TVD de las siguientes unidades: Facultad de Arquitectura y Diseño, Facultad de Ciencias Jurídicas, Facultad de Ciencias Sociales, Facultad de Ingeniería, Planeación de Planta Física, Secretaría Jurídica, Admisiones y Registro Académico, Instituto de Estudios Sociales y Culturales Pensar, Subcentro de Ciencias Sociales y Educación, Secretaría de Relaciones con Egresados, Editorial Pontificia Universidad Javeriana, Vicerrectoría de Investigación, Dirección de Investigación, Oficina para el Fomento de la Investigación, Centro de Asesoría Psicológica;Programa Javeriana por la Justicia y por la Paz, Dirección General de Recursos Humanos, Dirección General Financiera, Oficina de Operaciones, Oficina de Tesorería</t>
  </si>
  <si>
    <t>1. Verificación del Quórum
2. Lectura y aprobación del Acta N. 25 de la reunión del 28 de mayo de 2021
3. Informes de la Coordinación de Archivos Administrativos, Correspondencia e Impresión
4. Informe Archivo Central Javeriana Cali
5. Informe Ejecutivo Proyecto ITER
6. Varios
Se aprueban 13 TRD nuevas y 10 TRD de unidades para actualización de las siguientes unidades: Dirección de Mercadeo de Programas Académicos (Vicerrectoría Académica)
- Doctorado en Ciencias y Tecnología de Materiales (Fac. Ciencias)
- Maestría en Estrategia, Innovación y Competitividad (FCEA)
- Maestría en Banca y Finanzas (FCEA)
- Maestría en Derecho Laboral y Seguridad Social (Fac. Ciencias Jurídicas)
- Maestría en Estudios Internacionales (Fac. Ciencias Políticas y Relaciones Int.)
- Licenciatura en Ciencias Naturales y Educación Ambiental (Fac. Educación)
- Licenciatura en Educación Infantil (Fac. Educación)
- Licenciatura en Educación Física (Fac. Educación)
- Licenciatura en Filosofía (Fac. Educación)
- Licenciatura en Literatura y Lengua Castellana (Fac. Educación)
- Maestría en Salud Mental Escolar (Fac. Educación)
- Instituto Javeriano del Agua (Fac. Estudios Ambientales y Rurales)
y para actualizar</t>
  </si>
  <si>
    <t xml:space="preserve">Borrador en word
Hay un total de 29 TRD de las cuales 3 son nuevas y 26 de actualización. 
Las siguientes son las TRD (nuevas – N, y actualizaciones - A) para formalizar: 
Vicerrectoría Académica - Dirección de Asuntos Estudiantiles (A) 
Vicerrectoría Académica - Dirección de Asuntos Profesorales (A) 
Vicerrectoría Académica - Editorial Pontificia Universidad Javeriana (A) 
Vicerrectoría de Investigación - Maestría de Estudios Críticos de las Migraciones Contemporáneas (N) 
Vicerrectoría de Investigación - Maestría en Salud Pública (N) 
Vicerrectoría del Medio Universitario – Centro de Gestión Cultural (A) 
Vicerrectoría Administrativa – Oficina de Desarrollo de Planta Física (A) 
Vicerrectoría Administrativa – Oficina de Relaciones Laborales (A) 
Facultad de Ciencias – Unidad de Biología Comparativa (N) 
Facultad de Medicina – Instituto de Envejecimiento (A) 
Facultad de Teología - Decanatura de Facultad (A) 
12 – 29. Todas las Facultades - Secretarías de Facultad (A) </t>
  </si>
  <si>
    <t>naturaleza (física, electrónica, híbrido)</t>
  </si>
  <si>
    <t>Híbrido</t>
  </si>
  <si>
    <t>Físico</t>
  </si>
  <si>
    <t>Electrónico</t>
  </si>
  <si>
    <t>Informe sobre el Proyecto y sus resultados.
Eliminación de las historias clínicas del Instituto Neurológico de Colombia,
Reciclaje y compra de carpetas para el archivo de gestión.</t>
  </si>
  <si>
    <t>Metodología de eliminación de la Dirección de Servicios Universitarios
Correo sobre citación a la reunión; solicitud eliminación Dirección Financiera</t>
  </si>
  <si>
    <t>Eliminación de documentos de aspirantes no admitidos
Contratos de prestación de servicios de la Dirección Jurídica
Propuesta de eliminación de archvios de segunda edad.</t>
  </si>
  <si>
    <t>Correo TRD Oficina del Director de Gestión Humana</t>
  </si>
  <si>
    <t>Series apoyo o facilitativas.
Series misionales.
Aprobación de las TRD de la Vicerrectoría Administrativa
Bodega para conservación archivo histórico.
Reciclaje.
Eliminación de documentos: exámenes de estudintes, libros de Matriculas, documentos aspirantes no admitidos.</t>
  </si>
  <si>
    <t>Diapositivas Informe consolidado del Proyectoa 30 de noviembre del 2012
Resolución No. 566 de 2012
Acuerdo No. 562 de 2012
Resolución No. 558 de 2011
Reglamento Orgánico de la Seccional de Cali
Carta al Instituto Neurológico de Bogotá del 26 de octubre de 1998
Acta No. 253 del 2000 de la junta directiva del Instituto Neurológico de Colombia 
Carta a la doctora Myriam Marín Cortes del 16 de abril de 2001
Carta al padre Gerardo Remolina Vargas del 16 de octubre de 1998</t>
  </si>
  <si>
    <t>Circular No. 004 de 2013
Circular No. 003 de 2013
Manual de Archivo de enero de 2013
Memorando del 22 de agosto de 2013 sobre Cuadros Documentales
Informe economico consolidado y estadistico de mayores consultas por temas y 21 TRD consolidadas,</t>
  </si>
  <si>
    <t xml:space="preserve">informes Aprendizajes, informe de proyectos especiales e informe del proyecto suppla
Informe de participación en el VI congreso iberoamericano de archivos universitarios, 
Informe de participaciónen la primera jornada internacional de archivos del Perú
Proyecto de organización archivo satélite oficina de relaciones laborales
</t>
  </si>
  <si>
    <t>Informe Archivos Administrativos
CD Dirección de servicios universitarios
Memorando sobre remisión de TRD para firmas del 10 abril de 2014 y  24 de abril de 2014
Metodología de eliminación de la oficina de servicios generales
CD con 120 TRD aprovadas por el Comité y cuadros de clasificiaón documental</t>
  </si>
  <si>
    <t xml:space="preserve">Informe AAS, Informe cali </t>
  </si>
  <si>
    <t>Sesión Extraordinaria
Correo de citación al primer Comité asincrónico</t>
  </si>
  <si>
    <t xml:space="preserve">sin anexos 
Informes de la Coordinación de Gestión Documenta
Informe Archivo Central Javeriana Cali
Informe Ejecutivo Proyecto ITER </t>
  </si>
  <si>
    <t>Informe ASE, Iter, Falta Cali
Informe Archivo Central Javeriana Cali</t>
  </si>
  <si>
    <t>Informe de  avance del proyecto de organización de achivo de la PUJ etapa II
Diapositivas resultado encuenta primer semestre archivos adminsitrativos  2014
Correo TRD uniades particulares para validación
Diapositivas La Gestión Documental en la Universidad Javeriana
Memorando del 10 de diciembre sobre remisión de los directorios de la facultad de arquidiseño para eliminación</t>
  </si>
  <si>
    <t>Informe del contrato con la empresa Suppla
Eliminación de archivos del CAA
Aprovación de TDR</t>
  </si>
  <si>
    <t>Informe avance PAA 2da. etapa, Circular N. 004/2013, Circular N. 004/2013, 3 cd TRD aprobadas por el comité
Memorando del 19 de enero de 2015 sobre concepto técnico eliminación de directorios
CD con las TRD de la Oficina de Servicios Generales aprobado por el Comité de marzo 2015, y 2 CDs de abril 2015
Circular No. 004 de 2013 sobre eliminación de exámenes
Circular No. 003 de 2013 sobre eliminación de diplomas
correo sobre la conservación y eliminación de los documentos de los aspirantes no admitidos y de los admitidos no matriculados
correo sobre el informe para CSGA</t>
  </si>
  <si>
    <t xml:space="preserve">Informe avance PAA 2da. Etapa, Informe Archivo central Cali
</t>
  </si>
  <si>
    <t xml:space="preserve">Presentación del Informe de avance del Proyecto de Organización de Archivos II etapa
Depuración del fondo documental acumulado.
</t>
  </si>
  <si>
    <t xml:space="preserve">Avance de proyecto de organización de Archivos de la Universidad corte 21/1/2011 a 31/05/2015,
depuración del fondo documental acumulado
Estado de las TRD: se tienen 373 TRD vigentes de las cuales 33 vigentes hasta 2014 corresponden a las Tablas de las Decanaturas Académicas, Decanaturas del Medio Universitario y Programas de Educación Continua.
Se aprueban 18 TRD correspondientes a las Secretarías de Facultad de las 18 Facultades de la PUJ sede Bogotá.
Se aprueban 38 TRD de Cali  por el Comité del Sistema General de Archivos de la PUJ y 64 que se están trabajando actualmente. El Comité valida las 38 TRD  de la Rectoría, Vicerrectoría Administrativa, Vicerrectoría Académica, Vicerrectoría del Medio Universitario, Facultad de Ciencias Económicas y Administrativas, Facultad de Humanidades y Ciencias Sociales, Facultad de Ciencias de la Salud.
Se eliminaron archivos de las siguientes oficinas: Dirección Financiera, Facultad de Ingeniería, Oficina de Relaciones Laborales, Facultad de Ciencias Jurídicas, Oficina de Tesorería, Facultad de Medicina, Facultad de Odontología, Facultad de Ciencias Económicas y Administrativas, Facultad de Psicología y el Archivo Histórico Javeriano; por otro lado, se eliminaron historias clínicas de la facultad de medicina. según relación de anexo, informe de gestión Archivo Cali </t>
  </si>
  <si>
    <t>TRDs aprovadas</t>
  </si>
  <si>
    <t xml:space="preserve">Convocar sesión "0" para la conformación, definición de funciones y designación de miembros del Comité del Sistema Geberal de Archivos de la Pontificia Universidad Javeriana para presentar la propuesta al Rector de la Universidad
</t>
  </si>
  <si>
    <t>Propuesta de resolución de creación del Comité del Sistema General de Archivos de la Pontificia Universidad Javeriana (CSGAPUJ)
Correos sobre las eliminación de exámenes de estudiantesy eliminación formularios de ingreso
Propuesta de modificaión del reglamento orgánico de la sede central
Funciones propuestas al director y subdirector del CSGAPUJ
Manejo de documentos de los aspirantes no admitidos de la Oficina de Promoci´+on Institucional</t>
  </si>
  <si>
    <t>Propuesta para la creación del Comité del Sistema General de Archivos
Funciones y prioridades del comtié</t>
  </si>
  <si>
    <t>NO</t>
  </si>
  <si>
    <t>Eliminación libros de matricula, informe de avance del proyecto de Archivos Adminsitrativos en Segunda Etapa, eliminación de archivos, cambio de carpetas, presentación de las TRD de la Vicerrectoría Administrativa
Se aprueba la eliminación de los libros de matrícula luego de una revisión por parte del comité.
Una vez se aplicaron las TVD a los archivos de segunda edad que se enuentran el Suppla, se evidenció una inconsistencia en el número de porcentaje.
Se aprueba la eliminación de archivos de la oficina de tesorería, la oficina de suministros, y  la oficina de costos y presupuestos cuales corresponden a cheques anulados, coletillas de cheques, memorandos y registros de proveedores; reportes de juntas de compras de 2003-2004, copias de facturas nacionalesn de 2003, 2005 y 2006, órdenes de compra, reportes de entrega outsourcing, registro de proveedores, pedidos, listados de órdenes de compra, solicitudes de giro, cotizaciones; 189 libros empastados de traslados presupuestales.
Cambio de carpetas de yute a carpetas de 3 solapas con ph neutro, sin gancho legajador, con cierre en las esquinas, a menor costo que las de yute tradicionales.
El comité solicita un estudio de mercado para valorar cantidad y costos de reciclaje frente a costos de material nuevo y tiempos para archivar los documentos de gestión.
Se aprueban las TRD de la Vicerrectoría Administrativa exceptuando las de las oficinas de Desarrollo de Planta Física y la oficina de Organización y Método</t>
  </si>
  <si>
    <t>Diapositivas sobre el informe de avance del Proyecto de Archivos Administrativos – Segunda etapa
Circular de seceretaría general sobre la eliminaicón de exámenes, sobre la eliminación de documentos de los aspirantes no admitidos
Correo reunión sobre sistema de informaicón documental, solicitud eliminaicón Dirección Financiera</t>
  </si>
  <si>
    <t>38 TRD</t>
  </si>
  <si>
    <t xml:space="preserve">Se acuerda que las TRD deben contener la columna del tiempo de retención en los archivos, de segunda edad o archivo central
La Oficina de Servicios generales informa que no e pueden aprobar las TRDs para ser aprobadas por el coitée porque hubo inconsistencias en los timepos de retención de algunas series
Designación de la Bodega San Cayetano para la recepción de los archivos históricos archivos de segunda edad y de los archivos de gestión
Se contrata a la empresa Kimberly para el reciclaje y eliminación de exámenes, libros de matrículas y formularios de documentos de aspirante no admitidos que resulten de la aplicación de la Tabla de Valoración en las bodegas de Suppla y en la Universidad, con previa autorización del Comité del Sistema General de Archivos de la Universidad.
</t>
  </si>
  <si>
    <t xml:space="preserve">Porpuesta para la eliminación de Historias Clínicas de la Fundación Instituto Naurológico de Colombia 
La Dirección de Servicios Universitarios se compormete a solicitar conceptos sobre el interés de conservar y digitalizar las historias clínicas al decano académico de la Facultad de Medicina, a la directora de la Dirección de Investigación, al director científico del Hopsital San Ignacio y al director de Neurología del Hospital </t>
  </si>
  <si>
    <t>Diapositivas sobre la propuesta de eliminación  de las historias clínicas  de la Fundación Instituto Neurológico de Colombia.
Tabla de las TRDs aprobadas por el comité del Sistema General de Archivos
Solicitud para que la sección Cali haga parte del Sistema General de Archivos
Correos sobre el manejo de las histoiras clínicas</t>
  </si>
  <si>
    <t>TRD aprobadas:
Vicerrectoría administrativa
Organización y métodos
Dirección de serivicios universitarios
Servicios de alimentación
Oficina de servicios generales
Tienda Javeriana
Parqueaderos
Correspondencia
Coordinación de archiv administrativos
Oficina de suministros
Dirección de gestión humana
Oficina de desarrollo humano
Oficina de relaciones laborales
Oficina de selección
Dirección financiera
Oficina de cuentas por pagar
Oficina de apoyo financiero
Oficina de costos y presupuesto 
Oficina de contabilidad
Oficina de contabilidad Fundación Julio Ramírez Johns
Oficina de contabilidad Fundación Cultural Javeriana Esterio
Oficina de contabilidad FundaciónSanta Apolina
Oficina de contabilidad Fundación Enesto Castellanos
Oficina de contabilidad Fundación Instituto Geofídico Universidad Javeriana
Oficina de contabilidad Fundación Fumio Ito
Oficina de contabilidad Fundación Luis Carlos Galán
Oficina de tesorería
Dirección de recursos físico
Oficina de construcciones
Oficina de activos fijos
Oficina de desarrollo de planta física
Administración de campus
Dirección de tecnologías de la información
Oficina de servicios a usuarios
Oficina de sistemas de información
Oficina de infraestructura de tecnologías de información y comunicación
Oficina de asistencia de seguridad informática
Asistencia de proyectos y aseguramiento de calidad</t>
  </si>
  <si>
    <t>TRD aprobadas:
Vicerrectoría administrativa
Dirección financiera
Oficina de apoyo financiero
Oficina de tesorería
Oficina de contabilidad
Oficina de contabilidad Fundación Julio Ramíres Johns
Oficina de contabilidad Fundación Cultural Javeriana Esterio
Oficina de contabilidad Fundación Santa Apolina
Oficina de contabilidad Fundación Ernesto Castellanos
Oficina de contabilidad Fundación Instituto Geofísico Universidad Javeriana
Oficina de contabilidad Fundación Fumio Ito
Oficina de contabilidad Fundación Luis Carlos Galán
Oficina de cuentas por pagar
Oficina de costos y presupuesto
Dirección de gestión humana
Oficina de relaciones laborales
Oficina de selección
Oficina de desarrollo humano
Dirección de tecnologías de información
Oficina de sistemas de informaicón
Oficina de infraestructura del TIC
Oficina de servicios a usuarios
Asistencia de seguridad informática
Asistencia de proyectos y aseguramiento de la calidad
Dirección de recursos físicos
Oficina de activos fijos
Oficina de administración de campus
Oficina de construcciones
Dirección de servicios universitarios
Oficina de servicios de alimentación
Oficina de suministros
Oficina de servicios generales</t>
  </si>
  <si>
    <t>TRD aprobadas:
Dirección de comunicaciones
Oficina de información y prensa
Biblioteca general Alfonso Borrero Cabal S.J
Oficina de organización y métodos
Oficina de desarrollo de la planta física
Facultad de educación-secretaría de facultad
Facultad de comunicación y lenguaje-secretaría de facultad
Centro de gestión cultural
Programa de asesoría familiar</t>
  </si>
  <si>
    <t>TRD aprobadas:
Secretaría privada
Oficina de promoción institucional
Oficina de admisiones y registro académico
Vicerrectoría del medio universitario
Asistencia para el bienestar universitario
Asistencia para la promoción de identidad javeriana
Asistencia para el fomento de grupos estudiantiles
Programa de educación continua-Facultad de ciencias jurídicas
Programa de educación continua-Facultad de ciencias
Programa de educación continua-Facultad de artes
Programa de educación continua-Facultad de odontología
Programa de educación continua-Facultad de arquitectura y diseño
Programa de educación continua-Facultad de ciencias políticas
Programa de educación continua-Facultad de comunicación y lenguaje
Programa de educación continua-Facultad de enfermería
Programa de educación continua-Facultad de estudios ambientales y rurales
Programa de educación continua-Facultad de filosofía
Programa de educación continua-Facultad de ingeniería
Programa de educación continua-Facultad de medicina
Programa de educación continua-Facultad de psicología
Programa de educación continua-Facultad de teología
Facultad de arquitectura y diseño-decanatura académica
Facultad de ciencias-decanatura académica
Facultad de ciencias económicas y administartivas-decanatura académica
Facultad de ciencias sociales-decanatura académica
Facultad de comunicación y lenguaje-decanatura académica
Facultad de estudios ambientales y rulales-decanatura académica
Facultad de enfermería-decanatura académica
Facultad de educación-decanatura académica
Facultad de medicina-decanatura académica
Facultad de odontología-decanatura académica
Facultad de psicología-decanatura académica
Facultad de derecho canónico-decanatura académica
Facultad de artes-decanatura académica
Facultad de arquitectura y diseño-decanatura del medio universitario
Facultad de ciencias-decanatura del medio universitario
Facultad de ciencias económicas y administrativas-decanatura del medio universitario
Facultad de ciencias jurídicas-decanatura del medio universitario
Facultad de comunicación y lenguaje-decanatura del medio universitario
Facultad de estudios ambientales y ruales-decanatura del medio universitario
Facultad de enfermería-decanatura del medio universitario
Facultad de odontología-decanatura del medio universitario
Facultad de psicología-decanatura del medio universitario
Facultad de artes-secretaría de facultad
Facultad de ciencias-secretaría de facultad
Facultad de ciencias sociales-secretaría de facultad
Facultad de ciencias económicas y administrativas-secretaría de facultad
Facultad de ciencias jurídicas-secretaría de facultad
Facultad de ciencias políticas-secretaría de facultad
Facultad de estudios ambientales y rurales-secretaría de facultad
Facultad de enfermería-secretaría de facultad
Facultad de medicina-secretaría de facultad
Facultad de psicología-secretaría de facultad
Facultad de odontología-secretaría de facultad
Facultad de teología-secretaría de facultad
Facultad de ingeniería-secretaría de facultad</t>
  </si>
  <si>
    <t>TRD aprobadas:
Oficina de protocolo
Oficina de gestión de donaciones
Dirección jurídica
Centro pastoral San Fancisco Javier
Centro de asesoría psicológica
Centro javeriano de formación deportiva
Programa universidad saludable
Programa javeriano por la justicia y por la paz
Facultad de artes-decanatura académica
Facultad de ciencias jurídicas-decanatura académica
Facultad de ciencias políticas-decanatura académica
Facultad de filosofía-decanatura académica
Facultad de ingeniería-decanatura académica
Facultad de teología-decanatura académica
Facultad de ciencias políticas-decanatura del medio universitario
Facultad de ingeniería-decanatura del medio universitario
Facultad de medicina-decanatura del medio universitario
Facultad de teología-decanatura del medio universitario
Facultad de arquitectura-secretaría de facultad
Facultad de filosofía-secretaría de facultad
Programa de educación continua-Facultad de ciencias económicas y administrativas</t>
  </si>
  <si>
    <t>Listado consolidado de las oficinas a las cuales se les ha aprobado sus Tablas de Retención Documental.
Correo del plan de trabajo de aplicaión de TVD
Extracto acta No. 223 del 04 de abril de 0132</t>
  </si>
  <si>
    <t>TRDs aprovadas:
Rectoría:
Oficina del rector
Vicerrectoría académica:
Vicerrector académico
Dirección de programas académicos
Centro ático
Vicerrectoría de investigación:
Dirección de investigación
Dirección de innovación
Instituto de bioética
Vicerrectoría de extensión y relaciones interinstitucionales:
Vicerrector de extensión y relaciones interinstitucionales
Dirección de consultorías
Dirección de relaciones con egresados
Dirección de asuntos internacionales
Subcentro de riesgos profesionales y salud ocupacional
Vicerrectoría administrativas:
Oficina de control de giros
Facultades:
Facultad de arquitectura y diseño: 1 posgrado
Facultad de artes: 3 departamentos, 2 programas de pregrado, 2 programas de posgrados
Facultad de ciencias: 6 departamentos, 6 programas de pregrado, 6 programas de posgrados
Facultad de ciencias económicas y administrativas: 5 programas de posgrados
Facultad de ciencias jurídicas: 6 departamentos, 1 programa de pregado y 16 programas de posgrados
Facultad de ciencias sociales: 1 departamentos, 2 programas de pregrado, 5 programas de posgrados
Facultad de comunicacióm y lenguaje: 1 departamento
Facultad de derecho canónico: 2 programas de posgrado
Facultad de educación: 1 depatamento, 2 programas de pregado, 1 programa de posgrado
Facultad de enfermería: 2 departamentosx
Facultades de estudios ambientales y ruales: 1 departamento, 5 programas de posgrado
Facultad de filosofía: 1 departamento. 2 programas de pregrado, 2 programas de posgrados
Facultad de ingeniería: 2 departamentos
Facultad de medicina: 13 departamentos, 1 programa de pregrado, 31 programas de posgrados
Facultad de odontología: 4 departamentos
Facultad de teología: 3 programas de pregado, 2 programas de posgrados</t>
  </si>
  <si>
    <t xml:space="preserve">TRDs aprobadas se encuentran en un CD
TRDs aprovadas:
Vicerrectoría de extensión y relaciones interinstitucionales:
Dirección de asuntos internacionales
Subcentro de riesgos profesionales y salud ocupacional
Vicerrectoría administrativa:
Oficina de control de giros
Facultad de arquitectura y diseño:
Instituto Carlos Arbeláez Camacho para el patrimonio arquitectónico y urbano ICAC
Instituto javeriano de vivienda y urbanismo INJAVIU
Programa de estudios internacionales
Proyecto génesis
Facultad de artes:
Programa infantil y juvenil
Oficina de conciertos, exposiciones y eventos
Facultad de ciencias:
Centro de orientación nutricional
Centro de servicios
Instituto de errores innatos del metabolismo
Unidad de ciencias biomédicas
Oficina de preuniversitarios y asiganaturas de libre escogencia
Facultad de ciencias económicas y administrativas:
Centro javeriano para la competitivad empresarial
Instituto de políticas de desarrollo
Oficina de prácticas
Facultad de ciencias jurídicas:
Departamento de derecho laboral
Departamento de derecho privado
Departamento de derecho procesal
Departamento de derecho penal
Departamento de derecho público y constitucional
Departamento de filosofía e historia del derecho
Departamento de derecho económico
Doctorado en ciencias jurídicas
Consultorio jurídico
Facultad de ciencias políticas y relaciones internacionales:
Departamento de relaciones internacionales
Facultad de derecho canónico:
Consultorio jurídico
Facultad de estudios ambientales y rurales:
Instituto de estudios ambientales para el desarrollo IDEADE
Instituto de estudios rurales
Facultad de ingeniería:
Instituto geofísico
Centro de ergonomía
Facultad de medicina
Departamento demorfología
Departamento de epidemiología clínica y bioestadística
Centro de simulación clínica
Instituto de envejecimiento 
Instituto de genética humana
Oficina de preuniversitaria
Facultad de odontología:
Departamento de sistema dentario
Unidad de clínicas
Programa técnico laboral
Facultad de psicología:
Consultores en psicología
Oficina de preuniversitarios
Facultad de teología:
Oficina de publicaciones
</t>
  </si>
  <si>
    <t>TRDs aprovadas en la seccional Cali:
Rectoría:
Oficina de relaciones internacionales
Oficina de comunicaciones
Emisora javeriana estéreo
Oficina de responsabilidad social
Vicerrectoría administrativa:
Oficina de gestión humana
Servicios operacionales
Contratabilidad y presupuestos
Oficina de tesorería
Oficina de financiación y cartera
Oficina de compras y servicios especiales
Vicerrectoría académica:
Oficina de gestión estudiantil
Oficina de consultoría y educación continua
Oficina de registro académico y admisiones
Oficina de promociones institucional
Sello editorial javeriano
Biblioteca general
Vicerrectoría del medio universitario
Oficina del vicerrector del medio universitario
Centro de bienestar
Centro de expresión cultural
Centro deportivo
Centro San Francisco Javier
Facultad de ciencias económicas y administrativas:
Decanatura académica de la facultad de ciencias económicas y administrativas
Secretaría de la facultad de ciencias económicas y administrativas
Departamento de contabilidad y finanzas
Departamento de economía
Departamento de gestión de organizaciones
Carrera de administración de empresas
Carrera de contaduría pública
Carrera de negocios internacionales
Carrera de economía
Facultad de humanidades y ciencias sociales:
Carrera de ciencias políticas
Carrera de comunicación
Carrera de derecho-consultorio jurídico
Carrera de filosofía
Carrera de psicología
Facultad de ciencias de la salud:
Secretaría de la facultad de ciencias de la salud
Carrera de medicina
Facultad de ingeniería
Carrera de matemáticas aplicadas
TRDs aprovadas en PUJ Bogotá:
Oficinas:
Rectoría
Oficina jurídica
Secretaría general
Archivo central
Oficina de comunicaciones
Oficina de relaciones internacionales
Oficina de relación con los egresados
Oficina de apoyo a la planeación
Oficina de responasbilidad social
Oficina de relaciones universidad entorno
Centro de multimedios
Oficina de servicios informativos
Emisora javeriana estéreo
Oficina del vicerrector administrativo
Gestión humana
Servicios operacionales
Contabilidad y presupuesto
Oficina de tesorería
Oficina de servicios y apoyo financieros
Oficina de compras y servicios especiales
Oficina del vicerrector académico
Oficina de desarrollo académico
Oficina de gestión profesional
Oficina de gestión estudiantil
Oficina de investigación, desarrollo e innovación
Oficina de consultoría y educación continúa
Oficina de apoyo al emprendimiento
Oficina de registro académico y admisiones
Oficina de promoción institucional
Oficina para el fomento del uso de las tecnologías de información y comunicación
Centro de estudios interculturalesx
Sello editorial javeriano
Biblioteca general
Oficina del vicerector del medio universitario
Centro de bienestar
Centro de expresión cultural
Centro deportivo
Centro San Francisco Javier
Facultade de ciencias económicas y administrativas
Decanatura académica de la facultad de ciencias económicas y administrativas
Secretaría de la facultad de ciencias económicas y administrativas
Departamento de contabilidad y finanzas
Departamento de economía
Departamento de gestión de organizaciones
Carrera de administración de empresas
Carrera de contaduría pública
Carrera de negocios internacionales
Carrera de economía
Maestría en administración de empresas-executive MBA
Maestría en administración de empresas-Cali
Maestría en administración de empresas-Pasto
Maestría en administración de empresas-Pereira
Maestría en finanzas
Maestría en mercadeo
Maestría en ciencias económicas y de gestión
Especialización en administración de salud
Especialización en contabilidad financiera internacional
Especialización en finanzas
Especialización en gerencia social
Especialización en gestión tributaria
Especialización en mercadeo
Especialización en negocios internacionales
Facultad de humanidades y ciencias sociales:
Decanatura académica de la facultad de humanidades y ciencias sociales
Secretaría de la facultad de humanidades y ciencias sociales
Departamento de arquitectura, arte y diseño
Departamento de ciencia jurídica y política
Departamento de ciencias sociales
Departamento de comunicación y lenguaje
Departamento de humanidades
Carrera de artes visuales
Carrera de ciencia política
Carrera de comunicación
Carrera de derecho
Carrera de derecho-consultorio jurídico
Carrera de diseño de comunicación visual
Carrera de filosofía
Carrera de psicología
Carrera de arquitectura
Mestría en asesoría familiar-modalidad virtual
Maestría en derecho empresarial
Maestría en familia
Maestría en derechos humanos y cultura de paz
Maestría en psicología de la salud
Especialización en derecho comercial
Especialización en cultura de paz y DIH
Especialización en procesos humanos y desarrollo organizacional
Especialización en neuropsicología infantil
Especialización en seguridad social
Facultad de ciencias de la salud:
Decanatura académica de la facultad de ciencias de la salud
Secretaría de la facultad de ciencias de la salud
Carrera de medicina
Departamento de ciencias básicas de la salud
Departamento de salud pública
Departamento de clínicas médicas
Departamento materno-infantil
Departamento de de clínicas quirúrgicas
Maestría en salud pública
Facultad de ingeniería:
Decanatura académica de la facultad de ingeniería
Secretaría de la facultad de ingeniería
Departamento de ingeniería civil e industrial
Departamento de electrónica y ciencias de la computación
Departamento de ciencias naturales y matemáticas
Carrera de biología
Carrera de ingeniería civil
Carrera de ingeniería de sistemas y computación
Carrera de ingeniería electrónica
Carrera de ingeniería industrial
Carrera de matemáticas aplicadas
Maestría en ingeniería
Maestría en ingeniería civil
Doctorado en ingeniería
Especialización en gerencia de construcciones
Especialización en ingeniería de la calidad
Especialización en logística integral
Especialización en sistemas gerenciales de ingeniería
Centro de automatización y procesos-CAP</t>
  </si>
  <si>
    <t xml:space="preserve">TRDs aprovadas en PUJ Bogotá: 
Secretaría de facultad de ciencias económicas y administrativas
Secretaría de facultad de ciencias políticas y relaciones internacionales
Secretaría de facultad de ciencias sociales
Secretaría de facultad de enfermería
Secretaría de facultad de estudios ambientales y rurales
Secretaría de facultad ingeniería
Oficina de protocolo
Editorial Pontificia Universidad Javeriana
Dirección de educación continua
Oficina de relaciones laborales
Oficina de  servicios generales
Oficina de activos fijos
Centro de aseroría psicológicos y salud
Centro pastoral San Francisco Javier
Facultad de artes-decanatura de facultad
Facultad de ciencias económicas y administrativas-decanatura de facultad
Facultad de ciencias económicas y administrativas-carrera de administración de empreeas
Facultad de ciencias económicas y administrativas-departamento de ciencias contables
Facultad de ciencias económicas y administrativas-departamento de administración
Facultad de ciencias jurídicas-decanatura de facultad
Facultad de ciencias políticas y relaciones internacionales-decanatura de la facultad
Facultad de ciencias sociales-carrera de estudios literarios
Facultad de comunicación y lenguaje-decanatura de la facultad
Facultad de derecho canónico-decanatura de la facultad
Facultad de educación-decanatura de la facultad
Facultad de educación-licenciatura en pedagogía infantil
Facultad de enfermería-decanatura de la facultad
Facultad de estudios ambientales y rurales-decanatura de la facultad
Facultad de filosofía-doctorado en filosofía
Facultad de ingeniería-decanatura de la facultad
 Facultad de ingeniería-centro de estudios de ergonomía
Facultad de odontología-decanatura de la facultad
Facultad de psicología-decanatura de la facultad
Facultad de teología-decanatura de la facultad
Facultad de teología-departamento de teología
</t>
  </si>
  <si>
    <t>TDRs aprobadas PUJ Bogotá:
Rectoría:
Oficina de admisiones y registro
Vicerrectoría adminsitrativa:
Oficina de servicios generales
Facultad de artes:
Carrera de artes visuales
Facultad de medicina
Departamento de ciencias fisiológicas
Facultad de teología:
Centro de formación teológica
TDRs aprovadas PUJ Cali:
Rectoría:
Rectoría
Secretaría general
Archivo central
Vicerrectoría administrativa:
Oficina del vicerrector administrativo
Vicerrectoría académica:
Oficina del vicerrector académico
Oficina de desarrollo académico
Facultad de ciencias de la salud:
Decanatura académica de la facultad de ciencias de la salud
Facultad de humanidades y ciencias sociales:
Decanatura académica de la facultad de humanidades y ciencias sociales
Secretaría de la facultad de humanidades y ciencias sociales
Departamento de arquitectura, arte y diseño
Departamento de ciencia jurídica y política
Departamento de ciencias sociales
Departamento de comunicación y lenguaje
Departamento de humanidades
Carrera de comunicación
Carrera de derecho
Carrera de diseño de comunicación visual
Carrera de arquitectura
Maestría en asesoría familiar-modalidad virtual
Maestría en derecho empresarial
Maestría en familia
Maestría en derechos humanos y cultura de paz
Maestría en psicología de la salud
Especialización en derecho comercial
Especialización en cultura de paz y derecho internacional humanitario
Especialización en procesos humanos y desarrollo organizacional
Especialización en neuropsicología infantil
Especialización en seguridad social
Facultad de ingeniería:
Decanatura académica de la facultad de ingeniería
Secretaría de la facultad de ingeniería
Departamento de ingeniería civil e industrial
Departamento de electrónica y ciencias de la computación
Departamento de ciencias naturales y matemáticas
Carrera de biología
Carrera de ingeniería civil
Carrera de ingeniería de sistemas y computación
Carrera de ingeniería electrónica
Carrera de ingeniería industrial
Maestría en ingeniería 
Maestría en ingeniería civil
doctorado en ingeniería
Especialización en gerencia de construcciones
Especialización en ingeniería de la calidad
Especialización en logística integral
Especialización en sistemas gerenciales de ingeniería
Rectoría:
Rectoría
Oficina jurídica
Secretaría general
Archivo central
Oficina de comunicaciones
Oficina de relaciones internacionales
Oficina de relación con los egresados
Oficina de apoyo a la planeación
Oficina de responsabilidad social
Oficina de relaciones universidad-entorno
Centro de multimedios
Centro de servicios informáticos
Emisora javerian estéreo
Vicerrectoría administrativa:
Oficina del vicerrector administrativo
Gestión humana
Servicios operacionales
Contabilidad y presupuesto
Oficina de tesorería
Oficina de servicios y apoyo financiero
Oficina de compras y servicios especiales
Vicerrectoría académica:
Oficina del vicerrector académico
Oficina de desarrollo académico
Oficina de gestión profesoral
Oficina de gestión estudiantil
Oficina de investigación, desarrollo e innovación
Oficina de consultoría y educación continua
Oficina de apoyo al emprendimiento
Oficina de registro académico y admisiones
Oficina de promoción institucional
Oficina para el fomento del uso de las tecologías de información y comunicación-javevirtual
Centro de estudios interculturales
Sello editorial javeriano
Biblioteca general
Vicerrectoría del medio universitario:
Oficina del vicerrector del medio universitario
Centro de bienestar
Centro de expresión cultural
Centro deportivo
Centro San Francisco Javier
Facultad de ciencias económicas y administrativas:
Decanatura académica de la facultad de ciencias económicas y administrativas
Secretaría de la facultad de ciencias económicas y administrativas
Departamento de contabilidad y finanzas
Departamento de economía
Departamento de gestión de organizaciones
Carrera de administración de empresas
Carrera de contaduría pública
Carrera de negocios internacionales
Carrera de economía
Maestría en administración de empresas-executive MBA
Maestría en administración de empresas-Cali
Maestría en administración de empresas-Pasto
Maestría en administración de empresas-Pereira
Maestría en finanzas
Maestría en mercadeo
Maestría en ciencias económicas y de gestión
Especialización en administración de salud
Especialización en contabilidad financiera internacional
Especialización en finanzas
Especialización en gerencia social
Especialización en gestión tributaria
Especialización en mercadeo
Especialización en negocios internacionales
Facultad de humaniades y ciencias sociales:
Decanatura académica de la facultad de humaniades y ciencias sociales
Secretaría de la facultad de humaniades y ciencias sociales
Departamento de arquitectura, arte y diseño
Departamento de ciencia jurídica y política
Departamento de ciencias sociales
Departamento de comunicación y lenguaje
Departamento de humanidades
Carrera de artes visuales
Carrera de ciencia política
Carrera de comunicación
Carrera de derecho
Carrera de derecho-consultorio jurídico
Carrera de diseño de comunicación visual
Carrera de filosofía
Carrera de psicología
Carrera de arquitectura
Maestría en asesoría familiar-modalidad virtual
Maestría en derecho empresarial
Maestría en familia
Maestría en derechos humanos y cultura de paz
Maestría en psicología de la salud
Especialización en derecho comercial
Especialización en cultura de paz y DIH
Especialización en procesos humanos y desarrollo organizacional
Especialización en neuropsicología infantil
Especialización en seguridad social
Facultad de ciencias de la salud:
Decanatura académica de la facultad de ciencias de la salud
Secretaría de la facultad de ciencias de la salud
Carrera de medicina
Departamento de ciencias básicas de la salud
Departamento de salud pública
Departamento de clínicas médicas
Departamento materno-infantil
Departamento de clínicas quirúrgicas
Maestría en salud pública
Facultad de ingeniería:
Decanatura académica de la facultad de ingeniería
Secretaría de la facultad de ingeniería
Departamento de ingeniería civil e industrial
Departamento de electrónica y ciencias de la computación
Departamento de ciencias naturales y matemáticas
Carrera de biología
Carrera de ingeniería civil
Carrera de ingeniería de sistemas y computación
Carrera de ingeniería electrónica
Carrera de ingeniería industrial
Carrera de matemáticas aplicadas
Maestría en ingeniería
Maestría en ingeniería civil
Doctorado en ingeniería
Especialización en gerencia de construcciones
Especialización en ingeniería de la calidad
Especialización en logística integral
Especialización en sistemas gerenciales de ingeniería
Centro de automatización y procesos-CAP</t>
  </si>
  <si>
    <t>TDRs aprobadas PUJ Bogotá:
Vicerrectoría académica:
Centro para el aprendizaje, la enseñanza y la evaluación
Vicerrectoría del medio universitario:
Centro de fometo de la identidad y construcción de la comunidad
Facultad de artes:
Carrera de artes escénicas
Facultad de filosofía:
Decanatura de facultad
Facultad de ciencias eonómicas y administrativas:
Maestría en responsabilidad social
Maestría en economía de la salud
Facultad de ciencias sociales:
Decanatura de facultad
Maestría en archivística histórica y memoria
Facultad de educación:
Maestría en educación
Facultad de ingeniería:
Coordinación de relaciones con egresados
Facultad de psicología:
Doctorado en psicología
TRDs actualizadas PUJ Bogotá:
Vicerrectoría de investigación:
Dirección de investigación
Vicerrectoría administrativa:
Oficina de cuentas por pagar
Facultad de artes:
Carrera de estudios musicales
Facultad de ciencias políticas y relaciones internacionales:
Carrera de relaciones internacionales
Facultad de medicina:
Departamento de morfología
Facultad de odontología:
Unidades de clínicas</t>
  </si>
  <si>
    <r>
      <t xml:space="preserve">Presentación del informe del proyecto sobre la aplicaión de las TVD, el estado de las transferencias documentales, el informe financiero, ejecución presupuestal, estadísticas de la Mesa de Servicios
Archivísticos y el servicio de consulta a las Unidades
</t>
    </r>
    <r>
      <rPr>
        <strike/>
        <sz val="10"/>
        <rFont val="Arial"/>
      </rPr>
      <t xml:space="preserve">
</t>
    </r>
    <r>
      <rPr>
        <sz val="10"/>
        <rFont val="Arial"/>
      </rPr>
      <t xml:space="preserve">Para poder eliminar las historias clínicas del Instituto Neurológico de Colombia, se debe esperar la respuesta del Ministerio de Salud al derecho de petición interpuesto por la Universidad.
Se aprueba la eliminación de exámenes, salvo que haya un proceso disciplinario en curso el cual debe seguir el procedimiento y tiempos establecidos en el Reglamento de Estudiante.
No se consideró el tema sobre el reciclaje de las carpetas y tampoco se aprobó la compra de carpetas de cuatro solapas para los archivos de gestión.
</t>
    </r>
  </si>
  <si>
    <t>Aprobación de TRD con visto bueno, directrices para eiliminación de exámenes según procedimiento publicado SC-p42, aprobación de elaboración de indicadores de consulta archivos administrativos
La Pontificia Universidad de Cali se añade como la cuarta dimensión del Sistema General de Archivos de la Universidad, representado por el Dr. Pablo Rubén Vernaza, Secretario General de la Universidad, y a la Archivista Sandra Rodríguez quien acaba de ser nombrada Coordinadora de Archivos Administrativos.
Se explicó el procedimiento de estudio, elaboración, revisiones y aprobación de las TRD y cómo intervienen cada una de las partes involucradas. Asimismo, se hace lectura de las Unidades a las cuales se les aprueban las Tablas en este día.
Se acuerda que, antes de eliminar los exámenes escritos que no hayan sido entregados a los estudiantes o reclamados por estos, se conservarán en las Secretarías de Facultad por el tiempo de un año contado a partir de la fecha de finalización del período académico en curso. Una vez expirado este tiempo, se procede a eliminalos. En el caso de que hayan procesos disciplinarios en curso, se remiten a la Dirección Jurídica
luego de lo cual se sigue el procedimiento establecido en el Reglamento de Estudiantes.
Se acuerda que los diplomas originales, en latín y duplicados, con sus actas de grado individuales que no hayan sido reclamados por los graduados se conservarán en las Secretarías de Facultad por un tiempo de seis meses contados a partir de la fecha de expedición del diploma. Cumplido este tiempo, los diplomas no reclamados, serán enviados por los Secretarios de Facultad al Archivo Histórico Javeriano Juan Manuel Pacheco, S.J., para su custodia por dos años contados a partir de la fecha de la recepción en esta Unidad. El Archivo Histórico procederá a su eliminación al cumplirse el tiempo establecido.
Se aprueba la propuesta de elaborar indicadores de las consultas que hacen las unidades sobre los archivos administrativos</t>
  </si>
  <si>
    <t>Presentación del Informe del contrato con Suppla 30 de septiembre de 2014, 
se aprueban 44 TRD de las siguientes unidades: 
vicerrectoría de extensión y relaciones internacionales: dirección de asuntos internacionales, subcentro de riesgos profesionales y salud ocupacional
vicerrectoría administrativa: oficina de control de giros
Con el visto bueno de la Dirección Jurídica se aprueba la eliminación de los documentos presentados por la CAA. Eliminación de archivos del CAA</t>
  </si>
  <si>
    <t xml:space="preserve">Informe PAA 2da. Etapa, Depuración del fondo documental, estado de tablas de retención documental, Propuesta de eliminación de archivo Instituto Geofísico, informe de gestión Archivos Cali, ley 1712 de 2014 
En el infome de gestión para la Javeriana Cali se presenta el listado de 38 TRD aprobadas en la anterior sesión del Comité y que están pendientes para la firma , además se listan 75 TRD que se someten a la aprobación del Comité en esta sesión.
</t>
  </si>
  <si>
    <t xml:space="preserve">Contrato tercerización custodia de archivos administrativos y servicios relacionados: Desmonte y entrega de archivos al nuevo contratista, estadísticas servicios de consulta. Plan de incentivos archivos administrativos 2018. Plan de trabajo unidades calificación insuficiente 2018.
Tablas de Retención Documental para aprobación. Mesa de trabajo análisis series históricas. Custodia expedientes hojas de vida de trabajadores. Propuestas de eliminación de documentos de archivo.
Informe ejecutivo Proyecto ITER.
</t>
  </si>
  <si>
    <t>Lectura y aprobación del Acta N. 20 (viernes 21 de febrero de 2020) Comité del SGAPUJ. Informes de la Coordinación de Archivos Administrativos CAA:
Informe anual del contrato de tercerización y servicios brindados a las unidades.Informe resultado análisis series históricas de la Universidad.
Aprobación de TRD nuevas y actualizaciones. Aplicación de TVD para aprobación. Presentación propuesta cambios en la metodología de aplicación de TVD de la Universidad. Propuesta plan de incentivos 2020. Eliminación de documentación facilitativa de las unidades.
Informe Ejecutivo Archivo Central Javeriana Cali. Informe Ejecutivo Proyecto ITER
Se aprueba la eliminación de documentación correspondiente a series facilitativas o series que están incluidas en las TRD con disposición final de eliminación
Se actualizan 3 TRD de las siguientes unidades: Dirección de Asuntos Estudiantiles, Instituto de Salud Pública ,Departamento de Microbiología</t>
  </si>
  <si>
    <t>Anexo digital
Rectoría:
Dirección jurídica
Vicerrectoría de investigación:
Instituto de salud pública
Vicerrectoría académica:
Dirección de programas académicos
Vicerrectoría del medio universitario:
Centro de asesoría psicológico y salud
Facultad de arquitectura y diseño:
Decanatura de la facutad
Facultad de artes:
Maestría en creación universal
Facultad de ciencias:
Departamento de microbiología
Facultad de comunicación y lenguaje:
Licenciatura en lenguas modernas con énfasis en inglés y francés
Facultad de enfermería:
Decanatura de la facultad
Facultad de ciencias poíticas y relaciones internacionales:
Carrera de ciencia política
Facultad de odontología:
Departamento de sistema dentario</t>
  </si>
  <si>
    <t>Anexo digital
Rectoría:
Dirección jurídica
Vicerrectoría de investigación:
Instituto de salud pública
Vicerrectoría académica:
Direccción de programas académicos
Vicerrectoría del medio universitario:
Centro de asesoría psicológico y salud
Facultad de arquitectura y diseño:
Decanatura de la facutad
Facultad de artes:
Maestría en creación universal
Facultad de ciencias:
Departamento de microbiología
Facultad de comunicación y lenguaje:
Licenciatura en lenguas modernas con énfasis en inglés y francés
Facultad de enfermería:
Decanatura de la facultad
Facultad de ciencias poíticas y relaciones internacionales:
Carrera de ciencia política
Facultad de odontología:
Departamento de sistema dentario</t>
  </si>
  <si>
    <t>Anexo digital
Secretaría de planeación
Oficina de movilidad nacional
Servicios de alimentación
Dirección de gestión humana
Oficina de suministros
Oficina de activos fijos
Facultad de ciencias-Bioterio
Facultad de ciencias económicas y administrativas-MBA modalidad ejecutiva
Facultad de ciencias políticas y relaciones internacionales:
Maestría en gobierno del territorio y gestión pública
Facultad de ciencias sociales:
Especialización en literatura infantil y juvenil
Maestría en estudios afrocolombianos
Facultad de enfermería:
Maestría del adulto mayor
Maestría en efermería oncológica
Maestría en cuidado crítico
Maestría en cuidado paliativos
Maestría en seguridad social y salud en el trabajo
Especialización en salud ocupacional
Especialización en cuiado críticos
Especialización en enfermería pediátrica
Facultad de ingeniería:
Maestría en bioingeniería
Maestría en analítica para la inteligencia de negocios
Facultad de psicología:
Departamento de psicología
Maestría en abordajes psicosociales para la construcción de culturas de paz
Facultad de odontología:
Centro de investigaciones odontológicas</t>
  </si>
  <si>
    <t>Informe nueva contratación proveedor ASE, entrega de archivos al nuevo contratista, estadisticas servicios relacioandos, plan de incentivos, propuesta actualización, TRD, análisis series históricas, custodia expedientes hoja de vida de trabajadores, eliminacion de archivos, informe javeriana Cali, Informe ITER
La empresa escogida para tercerización Archivos de Segunda Edad de la PUJ Bogotá fue MEMORY CORP S.A.
Se presenta una propuesta actualización Tablas de Retención Documental, tipologías documentales y nuevas TRDs. (Proyecto ITER): 
Se han presentado 128 TRD de las cuales 116 fueron aprobadas, 9 están en trámite, 3 para validar que son las de Formación Javeriana, el Centro para la Enseñanza y el Aprendizaje, y la Oficina de Investigación, Desarrollo e Innovación.</t>
  </si>
  <si>
    <t>TRDs aprobadas sede Bogotá:
Vicerrectoría de investigación:
Centro javeriano de emprendimiento
Vicerrectoría administrativa:
Dirección de gestión humana
Oficina de Desarrollo Humano
Facultad de arquitectura y diseño:
Maestría en Diseño para la Innovación de Productos y Servicios
Facultad de ciencias:
Maestría en Restauración Ecológica
Facultad de ciencias económicas y administrativas:
Doctorado en Economía
Doctorado en Comunicación, Lenguajes e Información
Facultad de ciencias jurídicas:
Maestría en Derecho Administrativo
Maestría en Desarrollo Constitucional
Especialización en Derecho Financiero y Mercado de Valores
Facultad de ciencias políticas y relaciones internacionales:
Maestría en Estudios de Paz y Resolución de Conflictos
Maestría en Gobierno del Territorio y Gestión Pública
Facultad de comunicación y lenguaje:
Maestría en Periodismo Científico
Facultad de ingeniería:
Maestría en Energía y Sostenibilidad
Maestría en Logística y Transporte
Especialización en Gerencia de Proyectos y Tecnologías de la Información
Facultad de psicología:
Maestría en Niñez, Familia y Desarrollo de Contextos
Facultad de teología:
Bachillerato Eclesiástico en Teología</t>
  </si>
  <si>
    <t>quedé aquí</t>
  </si>
  <si>
    <t>Acta y Anexos digital
TRDs aprobadas en Bogotá:
Vicerrectoría académica:
Dirección de asuntos estudiantiles
Vicerrectoría de investigación:
Maestría de estudios críticos de las migraciones contemporáneas
Instituto de salud pública
Maestría en salud pública
Vicerrectoría administrativa: 
Oficina de seguridad y salud en el trabajo
Facultad de ciencias:
Departamento de microbiología
Facultad de ciencias económicas y admistrativas:
Maestría en banca y finanzas
Maestría en estrategia, innovación y competitividad
Especialización en marketing estratégico
Especialización en gerencia estratégica de la innovación
Facultad de ciencias jurídicas:
Maestría en derecho laboral y seguridad social
Facultad de ciencias políticas y relaciones internacionales:
Maestría en estudios internacionales
Facultad de educación:
Licenciatura en educación física
Licenciatura en literatura y lengua castellana
Licenciatura en ciencias naturales y educaión ambiental
Licenciatura en filosofías</t>
  </si>
  <si>
    <t>pendiente firma Dr. Cifuentes acta
Vicerrectoría académica:
Dirección de asuntos estudiantiles
Dirección de asuntos profesorales
Editorial Pontificia Universidad Javeriana
Vicerrectoría de investigación:
Maestría de estudios críticos de las migraciones contemporáneas
Maestría en salud pública
Vicerrectoría del medio universitario:
Centro de gestión cultural
Vicerrectoría administrativa:
Oficina de desarrollo de planta física
Oficina de relaciones laborales
Facultad de ciencias:
Unidad de biología comparativa
Facultad de medicina:
Institute de envejecimiento
Facultad de teología:
Decanatura de facultad
Todas las facultades:
Secretarías de facultad</t>
  </si>
  <si>
    <t>Acta digital 
En cuanto a las Tablas de Retención Documental se tienen publicadas en el portal web del Archivo 119 con sus respectivos cuadros de clasificación documental.
Respecto a la gestión de TRD para el 2020, se tiene un total de 154, por actualizar 77, aprobadas  115 y en proceso y por aprobación 39.</t>
  </si>
  <si>
    <t>Acta digital 
Facultades:
Facultad de ciencias
Facultad de ciencias económicas y administrativas
Facultad de comunicación y lenguaje
Facultad de educación
Vicerrectoría académica:
Asistencia de Asuntos Estudiantiles
Oficina del Vicerrector
Vicerrectoría Administrativa:
Dirección de Tecnologías de Información
Proyecto SIU
Servicios de Alimentación</t>
  </si>
  <si>
    <t>Informes de la Coordinación de Archivos Administrativos, Correspondencia e Impresión 
TRDs aprobadas en Bogotá:
Rectoría:
Rector
Archivo Histórico Javeriano
Oficina de fomento de la responsabilidad social universitaria
Vicerrectoría académica:
Dirección de mercadero de programas académicos
Vicerrector
Vicerrectoría de extensión y relaciones interinstitucionales:
Oficina de movilidad estudiantil
Vicerrectoría administrativa:
Oficina de contabilidad
Oficina de selección
Oficina de construcciones
Dirección de servicios universitarios
Oficina de servicios generales
Facultad de ciencias:
Doctorado en ciencias y tecnología de materiales
Facultad de ciencias económicas y administrativas:
Maestría en estrategia, innovaicón y competitividad
Maestría en banca y finanzas
Facultad de ciencias jurídicas:
Maestría en derecho laboral y seguridad social
Facultad de ciencias políticas y relaciones internacionales:
Maestría en estudios internacionales
Facultad de educación:
Licenciatura en ciencias naturales y educación ambiental
Licenciatura en educación infantil
Licenciatura en educación física
Licenciatura en filosofía
Licenciatura en literatura y lengua castellana
Maestría en salud mental escolar
Facultad de estudios ambientales y rurales:
Instituto Javeriano del agua</t>
  </si>
  <si>
    <t>sin
Informes de la Coordinación de Archivos Administrativos, Correspondencia e Impresión 
Informe Archivo Central Javeriana Cali
TRDs aprobadas en Bogotá:
Programa Javeriano por la Justicia y por la Paz
Planeación de Planta Física
Oficina de Operaciones
Vicerrectoría de Investigación
Dirección de Investigación
Oficina para el Fomento de la Investigación
Admisiones y Registro Académico
Centro de Asesoría Psicológica
Instituto de Estudios Sociales y Culturales Pensar
Subcentro de Ciencias Sociales y Educación
Secretaría de Relaciones con EgresadosDirección General de Recursos Humanos
Informe Ejecutivo Proyecto ITER</t>
  </si>
  <si>
    <t>Acta pendiente PDF firmas
TRDs aprobadas en Bogotá
Facultad de Arquitectura y Diseño 
Facultad de Ciencias Jurídicas 
Facultad de Ciencias Sociales 
Facultad de Ingeniería 
Planeación de Planta Física 
Secretaría Jurídica 
Admisiones y Registro Académico 
Instituto de Estudios Sociales y Culturales Pensar 
Subcentro de Ciencias Sociales y Educación 
Secretaría de Relaciones con Egresados 
Editorial Pontificia Universidad Javeriana 
Vicerrectoría de Investigación 
Dirección de Investigación 
Oficina para el Fomento de la Investigación 
Centro de Asesoría Psicológica 
Programa Javeriana por la Justicia y por la Paz 
Dirección General de Recursos Humanos 
Dirección General Financiera 
Oficina de Operaciones 
Oficina de Tesorería 
Rectoría:
Secretaría General
Facultad de Arquitectura y Diseño:
Maestría en Paisajes Artificiales
Facultad de Ciencias:
Carrera de Química Farmacéutica
Pregrado en Ciencia de Datos
 Maestría en Ciencias del Laboratorio Clínico
Maestría en Matemáticas
Facultad de Ciencias Económicas y Administrativas:
Carrera en Finanzas
Especialización en Marketing Estratégico
Especialización en Gerencia Estratégica de la Innovación
Especialización en Administración en Salud
Facultad de Comunicación y Lenguaje:
Carrera de Ciencia de la Información
Facultad de Derecho Canónico
Especialización en Derecho Matrimonial Canónico-virtual
Facultad de Educación:
Maestría en Educación para la Innovación y las Ciudadanías- virtual
 Especialización en Liderazgo para la Gestión Social- virtual
Facultad de Estudios Ambientales:
Especialización en Gestión de Empresas de la Economía Social y Solidaria- virtual
Facultad de Filosofía:
Instituto de Bioética
Maestría en Bioética
Facultad de Ingeniería:
Carrera de Ingeniería en Redes y Telecomunicaciones
Carrera de Bioingeniería
Maestría en Ingeniería del Internet de las Cosas
Maestría en Inteligencia Artificial
Maestría en Seguridad Digital
Carrera de Ingeniería Mecánica
Carrera de Ingeniería Mecatrónica
Facultad de Ciencias Sociales:
Maestría en Estudios Culturales Latinoamericanos
Facultad de Medicina:
Decanatura de Facultad de Medicina</t>
  </si>
  <si>
    <t>Acta digital 
TRDs aprobadas en Bogotá:
Vicerrectoría Académica:
Dirección de Mercadeo de Programas Académicos
Facultad de ciencias:
Doctorado en Ciencias y Tecnología de Materiales
Facultad de ciencias económicas y administrativas:
Maestría en Estrategia, Innovación y Competitividad
Maestría en Banca y Finanzas
Facultad de ciencias jurídicas
Maestría en Derecho Laboral y Seguridad Social
Facultad de ciencias polítivas y relaciones internacionales:
Maestría en Estudios Internacionales
Facultad de educación:
Licenciatura en Ciencias Naturales y Educación Ambiental
Licenciatura en Educación Infantil
Licenciatura en Educación Física
Licenciatura en Filosofía
Licenciatura en Literatura y Lengua Castellana
Maestría en Salud Mental Escolar
Facultad de estudios ambientales y rurales:
Instituto Javeriano del Agua</t>
  </si>
  <si>
    <t>correo de citación al tercer Comité asincrónico
TRDs aprobadas en Bogotá:
Secretaría General:
Emisora Javeriana</t>
  </si>
  <si>
    <t>pendiente lectura y firma 
TRDs aprobadas en Bogotá;
Vicerrectoría Académica:
Dirección de Asuntos Estudiantiles
Dirección de Asuntos Profesorales
Editorial Pontificia Universidad Javeriana
Vicerrectoría de Investigación:
Maestría de Estudios Críticos de las Migraciones Contemporáneas
Maestría en Salud Pública
Vicerrectoría del Medio Universitario:
Centro de Gestión Cultural
Vicerrectoría Administrativa:
Oficina de Desarrollo de Planta Física
Oficina de Relaciones Laborales
Facultad de Ciencias:
Unidad de Biología Comparativa
Facultad de Medicina:
Instituto de Envejecimiento
Facultad de Teología:
Decanatura de Facultad
Todas las Facultades
Secretarías de Facultad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</si>
</sst>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name val="Arial"/>
      <family val="2"/>
    </font>
    <font>
      <sz val="10"/>
      <color theme="1"/>
      <name val="Arial"/>
      <family val="2"/>
    </font>
    <font>
      <b/>
      <sz val="20"/>
      <color theme="1"/>
      <name val="Calibri"/>
      <family val="2"/>
      <scheme val="minor"/>
    </font>
    <font>
      <sz val="10"/>
      <color rgb="FFFF0000"/>
      <name val="Arial"/>
      <family val="2"/>
    </font>
    <font>
      <sz val="10"/>
      <name val="Arial"/>
      <family val="2"/>
    </font>
    <font>
      <sz val="10"/>
      <color theme="1"/>
      <name val="Arial"/>
    </font>
    <font>
      <b/>
      <sz val="10"/>
      <color theme="1"/>
      <name val="Arial"/>
    </font>
    <font>
      <sz val="11"/>
      <color theme="1"/>
      <name val="Arial"/>
    </font>
    <font>
      <b/>
      <sz val="11"/>
      <color theme="1"/>
      <name val="Arial"/>
    </font>
    <font>
      <b/>
      <sz val="20"/>
      <color theme="1"/>
      <name val="Arial"/>
    </font>
    <font>
      <b/>
      <sz val="20"/>
      <name val="Arial"/>
    </font>
    <font>
      <b/>
      <sz val="10"/>
      <name val="Arial"/>
    </font>
    <font>
      <sz val="10"/>
      <name val="Arial"/>
    </font>
    <font>
      <strike/>
      <sz val="10"/>
      <name val="Arial"/>
    </font>
    <font>
      <sz val="11"/>
      <name val="Arial"/>
    </font>
    <font>
      <sz val="11"/>
      <name val="Arial"/>
      <family val="2"/>
    </font>
    <font>
      <sz val="11"/>
      <name val="Calibri"/>
      <family val="2"/>
      <scheme val="minor"/>
    </font>
    <font>
      <b/>
      <sz val="11"/>
      <name val="Arial"/>
      <family val="2"/>
    </font>
    <font>
      <sz val="11"/>
      <color theme="1"/>
      <name val="Arial"/>
      <family val="2"/>
    </font>
    <font>
      <b/>
      <sz val="20"/>
      <name val="Calibri"/>
      <family val="2"/>
      <scheme val="minor"/>
    </font>
    <font>
      <b/>
      <sz val="10"/>
      <name val="Arial"/>
      <family val="2"/>
    </font>
    <font>
      <sz val="11"/>
      <name val="Calibri"/>
    </font>
    <font>
      <sz val="11"/>
      <name val="Calibri"/>
      <scheme val="minor"/>
    </font>
    <font>
      <u/>
      <sz val="11"/>
      <color theme="1"/>
      <name val="Calibri"/>
      <family val="2"/>
      <scheme val="minor"/>
    </font>
  </fonts>
  <fills count="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style="medium">
        <color indexed="64"/>
      </left>
      <right/>
      <top style="thin">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92">
    <xf numFmtId="0" fontId="0" fillId="0" borderId="0" xfId="0"/>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xf>
    <xf numFmtId="14" fontId="2" fillId="0" borderId="1" xfId="0" applyNumberFormat="1" applyFont="1" applyBorder="1" applyAlignment="1">
      <alignment horizontal="lef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14"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14" fontId="0" fillId="0" borderId="1" xfId="0" applyNumberForma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14" fontId="0" fillId="0" borderId="1" xfId="0" applyNumberFormat="1" applyBorder="1" applyAlignment="1">
      <alignment vertical="center"/>
    </xf>
    <xf numFmtId="0" fontId="8" fillId="0" borderId="0" xfId="0" applyFont="1"/>
    <xf numFmtId="0" fontId="8" fillId="0" borderId="11" xfId="0" applyFont="1" applyBorder="1"/>
    <xf numFmtId="0" fontId="8" fillId="0" borderId="12" xfId="0" applyFont="1" applyBorder="1" applyAlignment="1">
      <alignment horizontal="center" vertical="center"/>
    </xf>
    <xf numFmtId="0" fontId="0" fillId="0" borderId="11" xfId="0" applyBorder="1"/>
    <xf numFmtId="0" fontId="8" fillId="0" borderId="13" xfId="0" applyFont="1" applyBorder="1" applyAlignment="1">
      <alignment wrapText="1"/>
    </xf>
    <xf numFmtId="0" fontId="10" fillId="0" borderId="0" xfId="0" applyFont="1" applyAlignment="1">
      <alignment vertical="center" wrapText="1"/>
    </xf>
    <xf numFmtId="14" fontId="6"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xf>
    <xf numFmtId="14" fontId="8" fillId="0" borderId="1" xfId="0" applyNumberFormat="1" applyFont="1" applyBorder="1" applyAlignment="1">
      <alignment horizontal="center" vertical="center" wrapText="1"/>
    </xf>
    <xf numFmtId="14" fontId="8" fillId="0" borderId="1" xfId="0" applyNumberFormat="1" applyFont="1" applyBorder="1" applyAlignment="1">
      <alignment vertical="center"/>
    </xf>
    <xf numFmtId="0" fontId="8" fillId="0" borderId="1" xfId="0" applyFont="1" applyBorder="1" applyAlignment="1">
      <alignment vertical="center"/>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8" fillId="0" borderId="14" xfId="0" applyFont="1" applyBorder="1"/>
    <xf numFmtId="0" fontId="11" fillId="0" borderId="0" xfId="0" applyFont="1" applyAlignment="1">
      <alignment horizontal="left" vertical="center" wrapText="1"/>
    </xf>
    <xf numFmtId="0" fontId="13" fillId="0" borderId="1" xfId="0" applyFont="1" applyBorder="1" applyAlignment="1">
      <alignment horizontal="left" vertical="center" wrapText="1"/>
    </xf>
    <xf numFmtId="14" fontId="13" fillId="0" borderId="1" xfId="0" applyNumberFormat="1"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xf>
    <xf numFmtId="0" fontId="16" fillId="0" borderId="13" xfId="0" applyFont="1" applyBorder="1" applyAlignment="1">
      <alignment horizontal="left" vertical="center" wrapText="1"/>
    </xf>
    <xf numFmtId="0" fontId="17" fillId="0" borderId="0" xfId="0" applyFont="1" applyAlignment="1">
      <alignment horizontal="left" vertical="center" wrapText="1"/>
    </xf>
    <xf numFmtId="0" fontId="16" fillId="0" borderId="11" xfId="0" applyFont="1" applyBorder="1" applyAlignment="1">
      <alignment horizontal="left" vertical="center" wrapText="1"/>
    </xf>
    <xf numFmtId="0" fontId="16" fillId="0" borderId="15" xfId="0" applyFont="1" applyBorder="1" applyAlignment="1">
      <alignment horizontal="left" vertical="center" wrapText="1"/>
    </xf>
    <xf numFmtId="0" fontId="17" fillId="0" borderId="11" xfId="0" applyFont="1" applyBorder="1" applyAlignment="1">
      <alignment horizontal="left" vertical="center" wrapText="1"/>
    </xf>
    <xf numFmtId="0" fontId="5" fillId="0" borderId="1" xfId="0" applyFont="1" applyBorder="1" applyAlignment="1">
      <alignment horizontal="left" vertical="center" wrapText="1"/>
    </xf>
    <xf numFmtId="0" fontId="2" fillId="0" borderId="12" xfId="0" applyFont="1" applyBorder="1" applyAlignment="1">
      <alignment horizontal="center" vertical="center" wrapText="1"/>
    </xf>
    <xf numFmtId="0" fontId="19" fillId="0" borderId="0" xfId="0" applyFont="1" applyAlignment="1">
      <alignment wrapText="1"/>
    </xf>
    <xf numFmtId="0" fontId="20" fillId="0" borderId="0" xfId="0" applyFont="1" applyAlignment="1">
      <alignment horizontal="left" vertical="center" wrapText="1"/>
    </xf>
    <xf numFmtId="0" fontId="22" fillId="0" borderId="1" xfId="0" applyFont="1" applyBorder="1" applyAlignment="1">
      <alignment horizontal="left" vertical="center" wrapText="1"/>
    </xf>
    <xf numFmtId="0" fontId="23"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0" xfId="0" applyFont="1" applyAlignment="1">
      <alignment horizontal="left"/>
    </xf>
    <xf numFmtId="0" fontId="2" fillId="0" borderId="12" xfId="0" applyFont="1" applyBorder="1" applyAlignment="1">
      <alignment horizontal="left" vertical="center" wrapText="1"/>
    </xf>
    <xf numFmtId="0" fontId="6" fillId="0" borderId="12" xfId="0" applyFont="1" applyBorder="1" applyAlignment="1">
      <alignment horizontal="left" vertical="center" wrapText="1"/>
    </xf>
    <xf numFmtId="0" fontId="8" fillId="0" borderId="12" xfId="0" applyFont="1" applyBorder="1" applyAlignment="1">
      <alignment horizontal="left" vertical="center" wrapText="1"/>
    </xf>
    <xf numFmtId="0" fontId="9" fillId="4" borderId="0" xfId="0" applyFont="1" applyFill="1" applyAlignment="1">
      <alignment horizontal="left" vertical="center" wrapText="1"/>
    </xf>
    <xf numFmtId="0" fontId="9" fillId="4" borderId="9" xfId="0" applyFont="1" applyFill="1" applyBorder="1" applyAlignment="1">
      <alignment horizontal="center" vertical="center" wrapText="1"/>
    </xf>
    <xf numFmtId="0" fontId="18" fillId="4" borderId="0" xfId="0" applyFont="1" applyFill="1" applyAlignment="1">
      <alignment horizontal="left"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1" fillId="2" borderId="5"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7" fillId="4" borderId="3"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0" borderId="1" xfId="0" applyFont="1" applyFill="1" applyBorder="1" applyAlignment="1">
      <alignment horizontal="center" vertical="center" wrapText="1"/>
    </xf>
    <xf numFmtId="14" fontId="8" fillId="0" borderId="1" xfId="0" applyNumberFormat="1" applyFont="1" applyFill="1" applyBorder="1" applyAlignment="1">
      <alignment horizontal="center" vertical="center"/>
    </xf>
    <xf numFmtId="0" fontId="2" fillId="3" borderId="12" xfId="0" applyFont="1" applyFill="1" applyBorder="1" applyAlignment="1">
      <alignment horizontal="left" vertical="center" wrapText="1"/>
    </xf>
    <xf numFmtId="0" fontId="24" fillId="0" borderId="0" xfId="0" applyFont="1"/>
    <xf numFmtId="0" fontId="24"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14080</xdr:colOff>
      <xdr:row>0</xdr:row>
      <xdr:rowOff>91109</xdr:rowOff>
    </xdr:from>
    <xdr:to>
      <xdr:col>6</xdr:col>
      <xdr:colOff>969066</xdr:colOff>
      <xdr:row>8</xdr:row>
      <xdr:rowOff>250551</xdr:rowOff>
    </xdr:to>
    <xdr:pic>
      <xdr:nvPicPr>
        <xdr:cNvPr id="2" name="2 Imagen">
          <a:extLst>
            <a:ext uri="{FF2B5EF4-FFF2-40B4-BE49-F238E27FC236}">
              <a16:creationId xmlns:a16="http://schemas.microsoft.com/office/drawing/2014/main" id="{D28F6DBB-BF47-478D-B1AD-0C9933B44E6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148555" y="91109"/>
          <a:ext cx="954986" cy="888726"/>
        </a:xfrm>
        <a:prstGeom prst="rect">
          <a:avLst/>
        </a:prstGeom>
        <a:noFill/>
        <a:ln w="9525">
          <a:noFill/>
          <a:miter lim="800000"/>
          <a:headEnd/>
          <a:tailEnd/>
        </a:ln>
      </xdr:spPr>
    </xdr:pic>
    <xdr:clientData/>
  </xdr:twoCellAnchor>
  <xdr:twoCellAnchor editAs="oneCell">
    <xdr:from>
      <xdr:col>0</xdr:col>
      <xdr:colOff>24848</xdr:colOff>
      <xdr:row>0</xdr:row>
      <xdr:rowOff>149087</xdr:rowOff>
    </xdr:from>
    <xdr:to>
      <xdr:col>2</xdr:col>
      <xdr:colOff>2436</xdr:colOff>
      <xdr:row>8</xdr:row>
      <xdr:rowOff>247090</xdr:rowOff>
    </xdr:to>
    <xdr:pic>
      <xdr:nvPicPr>
        <xdr:cNvPr id="3" name="Imagen 1">
          <a:extLst>
            <a:ext uri="{FF2B5EF4-FFF2-40B4-BE49-F238E27FC236}">
              <a16:creationId xmlns:a16="http://schemas.microsoft.com/office/drawing/2014/main" id="{C2FA317B-BD41-423D-98B7-6E282B6288BF}"/>
            </a:ext>
            <a:ext uri="{147F2762-F138-4A5C-976F-8EAC2B608ADB}">
              <a16:predDERef xmlns:a16="http://schemas.microsoft.com/office/drawing/2014/main" pred="{D28F6DBB-BF47-478D-B1AD-0C9933B44E6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848" y="149087"/>
          <a:ext cx="1720663" cy="88526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14080</xdr:colOff>
      <xdr:row>0</xdr:row>
      <xdr:rowOff>91109</xdr:rowOff>
    </xdr:from>
    <xdr:to>
      <xdr:col>6</xdr:col>
      <xdr:colOff>969066</xdr:colOff>
      <xdr:row>5</xdr:row>
      <xdr:rowOff>27335</xdr:rowOff>
    </xdr:to>
    <xdr:pic>
      <xdr:nvPicPr>
        <xdr:cNvPr id="3" name="2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7932254" y="91109"/>
          <a:ext cx="954986" cy="888726"/>
        </a:xfrm>
        <a:prstGeom prst="rect">
          <a:avLst/>
        </a:prstGeom>
        <a:noFill/>
        <a:ln w="9525">
          <a:noFill/>
          <a:miter lim="800000"/>
          <a:headEnd/>
          <a:tailEnd/>
        </a:ln>
      </xdr:spPr>
    </xdr:pic>
    <xdr:clientData/>
  </xdr:twoCellAnchor>
  <xdr:twoCellAnchor editAs="oneCell">
    <xdr:from>
      <xdr:col>0</xdr:col>
      <xdr:colOff>24848</xdr:colOff>
      <xdr:row>0</xdr:row>
      <xdr:rowOff>149087</xdr:rowOff>
    </xdr:from>
    <xdr:to>
      <xdr:col>2</xdr:col>
      <xdr:colOff>2436</xdr:colOff>
      <xdr:row>5</xdr:row>
      <xdr:rowOff>81852</xdr:rowOff>
    </xdr:to>
    <xdr:pic>
      <xdr:nvPicPr>
        <xdr:cNvPr id="4" name="Imagen 1">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848" y="149087"/>
          <a:ext cx="1725218" cy="8852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D97F-E30E-4FF9-A81E-B69458992002}">
  <dimension ref="A1:J96"/>
  <sheetViews>
    <sheetView tabSelected="1" zoomScale="130" zoomScaleNormal="130" workbookViewId="0">
      <pane xSplit="1" ySplit="8" topLeftCell="B29" activePane="bottomRight" state="frozen"/>
      <selection pane="topRight" activeCell="B1" sqref="B1"/>
      <selection pane="bottomLeft" activeCell="A9" sqref="A9"/>
      <selection pane="bottomRight" activeCell="A29" sqref="A29"/>
    </sheetView>
  </sheetViews>
  <sheetFormatPr baseColWidth="10" defaultColWidth="11.42578125" defaultRowHeight="15" x14ac:dyDescent="0.25"/>
  <cols>
    <col min="1" max="1" width="19.85546875" customWidth="1"/>
    <col min="2" max="2" width="6.28515625" customWidth="1"/>
    <col min="3" max="3" width="13.85546875" style="28" customWidth="1"/>
    <col min="4" max="4" width="84.85546875" style="49" customWidth="1"/>
    <col min="5" max="5" width="42.140625" style="62" customWidth="1"/>
    <col min="6" max="6" width="37.140625" customWidth="1"/>
    <col min="7" max="7" width="16.42578125" customWidth="1"/>
    <col min="8" max="8" width="27.140625" style="51" customWidth="1"/>
    <col min="9" max="9" width="36.5703125" bestFit="1" customWidth="1"/>
  </cols>
  <sheetData>
    <row r="1" spans="1:10" ht="15" hidden="1" customHeight="1" x14ac:dyDescent="0.25">
      <c r="A1" s="3"/>
      <c r="B1" s="3"/>
      <c r="C1" s="33"/>
      <c r="D1" s="42"/>
      <c r="E1" s="58"/>
      <c r="F1" s="3"/>
    </row>
    <row r="2" spans="1:10" ht="15" hidden="1" customHeight="1" x14ac:dyDescent="0.25">
      <c r="A2" s="3"/>
      <c r="C2" s="69" t="s">
        <v>0</v>
      </c>
      <c r="D2" s="69"/>
      <c r="E2" s="69"/>
      <c r="F2" s="69"/>
    </row>
    <row r="3" spans="1:10" ht="15" hidden="1" customHeight="1" x14ac:dyDescent="0.25">
      <c r="A3" s="3"/>
      <c r="B3" s="3"/>
      <c r="C3" s="69"/>
      <c r="D3" s="69"/>
      <c r="E3" s="69"/>
      <c r="F3" s="69"/>
    </row>
    <row r="4" spans="1:10" ht="15" hidden="1" customHeight="1" x14ac:dyDescent="0.25">
      <c r="A4" s="3"/>
      <c r="B4" s="3"/>
      <c r="C4" s="69"/>
      <c r="D4" s="69"/>
      <c r="E4" s="69"/>
      <c r="F4" s="69"/>
    </row>
    <row r="5" spans="1:10" ht="27.75" hidden="1" customHeight="1" x14ac:dyDescent="0.25">
      <c r="A5" s="3"/>
      <c r="B5" s="3"/>
      <c r="C5" s="69"/>
      <c r="D5" s="69"/>
      <c r="E5" s="69"/>
      <c r="F5" s="69"/>
    </row>
    <row r="6" spans="1:10" ht="8.25" hidden="1" customHeight="1" x14ac:dyDescent="0.25">
      <c r="A6" s="3"/>
      <c r="B6" s="3"/>
      <c r="C6" s="70"/>
      <c r="D6" s="70"/>
      <c r="E6" s="70"/>
      <c r="F6" s="70"/>
    </row>
    <row r="7" spans="1:10" ht="35.25" customHeight="1" x14ac:dyDescent="0.25">
      <c r="B7" s="71" t="s">
        <v>1</v>
      </c>
      <c r="C7" s="73" t="s">
        <v>2</v>
      </c>
      <c r="D7" s="75" t="s">
        <v>3</v>
      </c>
      <c r="E7" s="77" t="s">
        <v>4</v>
      </c>
      <c r="F7" s="79" t="s">
        <v>5</v>
      </c>
      <c r="G7" s="67" t="s">
        <v>6</v>
      </c>
      <c r="H7" s="68" t="s">
        <v>7</v>
      </c>
      <c r="I7" s="66" t="s">
        <v>109</v>
      </c>
      <c r="J7" s="66" t="s">
        <v>132</v>
      </c>
    </row>
    <row r="8" spans="1:10" x14ac:dyDescent="0.25">
      <c r="B8" s="72"/>
      <c r="C8" s="74"/>
      <c r="D8" s="76"/>
      <c r="E8" s="78"/>
      <c r="F8" s="80"/>
      <c r="G8" s="67"/>
      <c r="H8" s="68"/>
      <c r="I8" s="66"/>
      <c r="J8" s="66"/>
    </row>
    <row r="9" spans="1:10" ht="64.5" customHeight="1" x14ac:dyDescent="0.25">
      <c r="B9" s="1">
        <v>0</v>
      </c>
      <c r="C9" s="34">
        <v>40947</v>
      </c>
      <c r="D9" s="55" t="s">
        <v>133</v>
      </c>
      <c r="E9" s="55" t="s">
        <v>134</v>
      </c>
      <c r="F9" s="56"/>
      <c r="G9" s="29" t="s">
        <v>59</v>
      </c>
      <c r="H9" s="52" t="s">
        <v>135</v>
      </c>
      <c r="I9" s="28" t="s">
        <v>110</v>
      </c>
      <c r="J9" t="s">
        <v>136</v>
      </c>
    </row>
    <row r="10" spans="1:10" ht="314.25" customHeight="1" x14ac:dyDescent="0.25">
      <c r="B10" s="1">
        <v>1</v>
      </c>
      <c r="C10" s="34">
        <v>41025</v>
      </c>
      <c r="D10" s="55" t="s">
        <v>96</v>
      </c>
      <c r="E10" s="55" t="s">
        <v>114</v>
      </c>
      <c r="F10" s="63" t="s">
        <v>143</v>
      </c>
      <c r="G10" s="32" t="s">
        <v>59</v>
      </c>
      <c r="H10" s="50" t="s">
        <v>115</v>
      </c>
      <c r="I10" s="57" t="s">
        <v>110</v>
      </c>
      <c r="J10" t="s">
        <v>139</v>
      </c>
    </row>
    <row r="11" spans="1:10" ht="191.25" x14ac:dyDescent="0.25">
      <c r="B11" s="1">
        <v>2</v>
      </c>
      <c r="C11" s="34">
        <v>41047</v>
      </c>
      <c r="D11" s="43" t="s">
        <v>140</v>
      </c>
      <c r="E11" s="55" t="s">
        <v>116</v>
      </c>
      <c r="F11" s="64"/>
      <c r="G11" s="29" t="s">
        <v>59</v>
      </c>
      <c r="H11" s="52" t="s">
        <v>117</v>
      </c>
      <c r="I11" s="28" t="s">
        <v>110</v>
      </c>
    </row>
    <row r="12" spans="1:10" ht="404.25" customHeight="1" x14ac:dyDescent="0.25">
      <c r="B12" s="1">
        <v>3</v>
      </c>
      <c r="C12" s="34">
        <v>41095</v>
      </c>
      <c r="D12" s="43" t="s">
        <v>137</v>
      </c>
      <c r="E12" s="55" t="s">
        <v>138</v>
      </c>
      <c r="F12" s="64" t="s">
        <v>144</v>
      </c>
      <c r="G12" s="29" t="s">
        <v>59</v>
      </c>
      <c r="H12" s="52" t="s">
        <v>11</v>
      </c>
      <c r="I12" s="28" t="s">
        <v>110</v>
      </c>
    </row>
    <row r="13" spans="1:10" ht="127.5" x14ac:dyDescent="0.25">
      <c r="B13" s="1">
        <v>4</v>
      </c>
      <c r="C13" s="34">
        <v>41151</v>
      </c>
      <c r="D13" s="43" t="s">
        <v>141</v>
      </c>
      <c r="E13" s="43" t="s">
        <v>142</v>
      </c>
      <c r="F13" s="64"/>
      <c r="G13" s="29" t="s">
        <v>59</v>
      </c>
      <c r="H13" s="52" t="s">
        <v>13</v>
      </c>
      <c r="I13" s="28" t="s">
        <v>110</v>
      </c>
    </row>
    <row r="14" spans="1:10" ht="280.5" x14ac:dyDescent="0.25">
      <c r="B14" s="1">
        <v>5</v>
      </c>
      <c r="C14" s="34">
        <v>41250</v>
      </c>
      <c r="D14" s="43" t="s">
        <v>155</v>
      </c>
      <c r="E14" s="55" t="s">
        <v>118</v>
      </c>
      <c r="F14" s="64" t="s">
        <v>145</v>
      </c>
      <c r="G14" s="29" t="s">
        <v>59</v>
      </c>
      <c r="H14" s="52" t="s">
        <v>113</v>
      </c>
      <c r="I14" s="28" t="s">
        <v>110</v>
      </c>
    </row>
    <row r="15" spans="1:10" ht="409.5" x14ac:dyDescent="0.25">
      <c r="B15" s="1">
        <v>6</v>
      </c>
      <c r="C15" s="34">
        <v>41348</v>
      </c>
      <c r="D15" s="43" t="s">
        <v>156</v>
      </c>
      <c r="E15" s="55" t="s">
        <v>148</v>
      </c>
      <c r="F15" s="63" t="s">
        <v>146</v>
      </c>
      <c r="G15" s="29" t="s">
        <v>59</v>
      </c>
      <c r="H15" s="52" t="s">
        <v>16</v>
      </c>
      <c r="I15" s="28" t="s">
        <v>110</v>
      </c>
    </row>
    <row r="16" spans="1:10" ht="237" customHeight="1" x14ac:dyDescent="0.25">
      <c r="B16" s="1">
        <v>7</v>
      </c>
      <c r="C16" s="34">
        <v>41424</v>
      </c>
      <c r="D16" s="43" t="s">
        <v>97</v>
      </c>
      <c r="E16" s="55" t="s">
        <v>119</v>
      </c>
      <c r="F16" s="64" t="s">
        <v>147</v>
      </c>
      <c r="G16" s="29" t="s">
        <v>59</v>
      </c>
      <c r="H16" s="52" t="s">
        <v>18</v>
      </c>
      <c r="I16" s="28" t="s">
        <v>110</v>
      </c>
    </row>
    <row r="17" spans="1:9" ht="201.75" customHeight="1" x14ac:dyDescent="0.25">
      <c r="B17" s="1">
        <v>8</v>
      </c>
      <c r="C17" s="34">
        <v>41593</v>
      </c>
      <c r="D17" s="43" t="s">
        <v>98</v>
      </c>
      <c r="E17" s="55" t="s">
        <v>120</v>
      </c>
      <c r="F17" s="64"/>
      <c r="G17" s="29" t="s">
        <v>59</v>
      </c>
      <c r="H17" s="52" t="s">
        <v>20</v>
      </c>
      <c r="I17" s="28" t="s">
        <v>110</v>
      </c>
    </row>
    <row r="18" spans="1:9" ht="200.25" customHeight="1" x14ac:dyDescent="0.25">
      <c r="B18" s="1">
        <v>9</v>
      </c>
      <c r="C18" s="34">
        <v>41754</v>
      </c>
      <c r="D18" s="43" t="s">
        <v>99</v>
      </c>
      <c r="E18" s="55" t="s">
        <v>121</v>
      </c>
      <c r="F18" s="63" t="s">
        <v>149</v>
      </c>
      <c r="G18" s="29" t="s">
        <v>59</v>
      </c>
      <c r="H18" s="52" t="s">
        <v>22</v>
      </c>
      <c r="I18" s="28" t="s">
        <v>110</v>
      </c>
    </row>
    <row r="19" spans="1:9" ht="409.5" x14ac:dyDescent="0.25">
      <c r="B19" s="1">
        <v>10</v>
      </c>
      <c r="C19" s="34">
        <v>41929</v>
      </c>
      <c r="D19" s="43" t="s">
        <v>157</v>
      </c>
      <c r="E19" s="43" t="s">
        <v>126</v>
      </c>
      <c r="F19" s="63" t="s">
        <v>150</v>
      </c>
      <c r="G19" s="29" t="s">
        <v>59</v>
      </c>
      <c r="H19" s="52" t="s">
        <v>127</v>
      </c>
      <c r="I19" s="28" t="s">
        <v>110</v>
      </c>
    </row>
    <row r="20" spans="1:9" ht="124.5" customHeight="1" x14ac:dyDescent="0.25">
      <c r="B20" s="1">
        <v>11</v>
      </c>
      <c r="C20" s="34">
        <v>42110</v>
      </c>
      <c r="D20" s="43" t="s">
        <v>100</v>
      </c>
      <c r="E20" s="55" t="s">
        <v>128</v>
      </c>
      <c r="F20" s="64"/>
      <c r="G20" s="29"/>
      <c r="H20" s="52" t="s">
        <v>24</v>
      </c>
      <c r="I20" s="28"/>
    </row>
    <row r="21" spans="1:9" ht="234.75" customHeight="1" x14ac:dyDescent="0.25">
      <c r="B21" s="1">
        <v>12</v>
      </c>
      <c r="C21" s="34">
        <v>42187</v>
      </c>
      <c r="D21" s="43" t="s">
        <v>131</v>
      </c>
      <c r="E21" s="55" t="s">
        <v>129</v>
      </c>
      <c r="F21" s="63" t="s">
        <v>151</v>
      </c>
      <c r="G21" s="29"/>
      <c r="H21" s="52" t="s">
        <v>130</v>
      </c>
      <c r="I21" s="28"/>
    </row>
    <row r="22" spans="1:9" ht="409.5" x14ac:dyDescent="0.25">
      <c r="B22" s="1">
        <v>13</v>
      </c>
      <c r="C22" s="34">
        <v>42342</v>
      </c>
      <c r="D22" s="43" t="s">
        <v>158</v>
      </c>
      <c r="E22" s="55" t="s">
        <v>26</v>
      </c>
      <c r="F22" s="64" t="s">
        <v>152</v>
      </c>
      <c r="G22" s="29"/>
      <c r="H22" s="52" t="s">
        <v>27</v>
      </c>
      <c r="I22" s="28"/>
    </row>
    <row r="23" spans="1:9" ht="91.5" customHeight="1" x14ac:dyDescent="0.25">
      <c r="B23" s="1">
        <v>14</v>
      </c>
      <c r="C23" s="34">
        <v>42531</v>
      </c>
      <c r="D23" s="43" t="s">
        <v>101</v>
      </c>
      <c r="E23" s="55" t="s">
        <v>28</v>
      </c>
      <c r="F23" s="64" t="s">
        <v>153</v>
      </c>
      <c r="G23" s="29"/>
      <c r="H23" s="52" t="s">
        <v>29</v>
      </c>
      <c r="I23" s="28"/>
    </row>
    <row r="24" spans="1:9" ht="57" customHeight="1" x14ac:dyDescent="0.25">
      <c r="B24" s="1">
        <v>15</v>
      </c>
      <c r="C24" s="34">
        <v>42706</v>
      </c>
      <c r="D24" s="43" t="s">
        <v>102</v>
      </c>
      <c r="E24" s="55" t="s">
        <v>30</v>
      </c>
      <c r="F24" s="64" t="s">
        <v>154</v>
      </c>
      <c r="G24" s="29"/>
      <c r="H24" s="52" t="s">
        <v>31</v>
      </c>
      <c r="I24" s="28"/>
    </row>
    <row r="25" spans="1:9" ht="409.5" x14ac:dyDescent="0.25">
      <c r="B25" s="1">
        <v>16</v>
      </c>
      <c r="C25" s="34">
        <v>42825</v>
      </c>
      <c r="D25" s="43" t="s">
        <v>32</v>
      </c>
      <c r="E25" s="55" t="s">
        <v>33</v>
      </c>
      <c r="F25" s="64" t="s">
        <v>161</v>
      </c>
      <c r="G25" s="29"/>
      <c r="H25" s="52" t="s">
        <v>35</v>
      </c>
      <c r="I25" s="28"/>
    </row>
    <row r="26" spans="1:9" ht="409.5" x14ac:dyDescent="0.25">
      <c r="B26" s="1">
        <v>17</v>
      </c>
      <c r="C26" s="34">
        <v>43007</v>
      </c>
      <c r="D26" s="43" t="s">
        <v>103</v>
      </c>
      <c r="E26" s="55" t="s">
        <v>122</v>
      </c>
      <c r="F26" s="64" t="s">
        <v>162</v>
      </c>
      <c r="G26" s="29"/>
      <c r="H26" s="52" t="s">
        <v>37</v>
      </c>
      <c r="I26" s="28"/>
    </row>
    <row r="27" spans="1:9" ht="409.5" x14ac:dyDescent="0.25">
      <c r="B27" s="1">
        <v>18</v>
      </c>
      <c r="C27" s="34">
        <v>43356</v>
      </c>
      <c r="D27" s="43" t="s">
        <v>104</v>
      </c>
      <c r="E27" s="55" t="s">
        <v>38</v>
      </c>
      <c r="F27" s="64" t="s">
        <v>163</v>
      </c>
      <c r="G27" s="29"/>
      <c r="H27" s="52" t="s">
        <v>39</v>
      </c>
      <c r="I27" s="28"/>
    </row>
    <row r="28" spans="1:9" ht="116.25" customHeight="1" x14ac:dyDescent="0.25">
      <c r="B28" s="1">
        <v>19</v>
      </c>
      <c r="C28" s="34">
        <v>43559</v>
      </c>
      <c r="D28" s="44" t="s">
        <v>164</v>
      </c>
      <c r="E28" s="55" t="s">
        <v>40</v>
      </c>
      <c r="F28" s="64" t="s">
        <v>34</v>
      </c>
      <c r="G28" s="29"/>
      <c r="H28" s="52" t="s">
        <v>41</v>
      </c>
      <c r="I28" s="28"/>
    </row>
    <row r="29" spans="1:9" ht="175.5" customHeight="1" x14ac:dyDescent="0.25">
      <c r="A29" s="91" t="s">
        <v>166</v>
      </c>
      <c r="B29" s="87">
        <v>20</v>
      </c>
      <c r="C29" s="88">
        <v>43671</v>
      </c>
      <c r="D29" s="43" t="s">
        <v>159</v>
      </c>
      <c r="E29" s="55" t="s">
        <v>42</v>
      </c>
      <c r="F29" s="64" t="s">
        <v>165</v>
      </c>
      <c r="G29" s="29"/>
      <c r="H29" s="52" t="s">
        <v>43</v>
      </c>
      <c r="I29" s="28"/>
    </row>
    <row r="30" spans="1:9" ht="409.5" x14ac:dyDescent="0.25">
      <c r="B30" s="1">
        <v>21</v>
      </c>
      <c r="C30" s="34">
        <v>43882</v>
      </c>
      <c r="D30" s="43" t="s">
        <v>160</v>
      </c>
      <c r="E30" s="43" t="s">
        <v>44</v>
      </c>
      <c r="F30" s="64" t="s">
        <v>167</v>
      </c>
      <c r="G30" s="29"/>
      <c r="H30" s="52" t="s">
        <v>46</v>
      </c>
      <c r="I30" s="28"/>
    </row>
    <row r="31" spans="1:9" ht="178.5" x14ac:dyDescent="0.25">
      <c r="B31" s="1">
        <v>22</v>
      </c>
      <c r="C31" s="34">
        <v>44148</v>
      </c>
      <c r="D31" s="43" t="s">
        <v>105</v>
      </c>
      <c r="E31" s="43" t="s">
        <v>47</v>
      </c>
      <c r="F31" s="64" t="s">
        <v>169</v>
      </c>
      <c r="G31" s="29"/>
      <c r="H31" s="52" t="s">
        <v>49</v>
      </c>
      <c r="I31" s="28"/>
    </row>
    <row r="32" spans="1:9" ht="53.25" customHeight="1" x14ac:dyDescent="0.25">
      <c r="B32" s="1">
        <v>23</v>
      </c>
      <c r="C32" s="34">
        <v>44175</v>
      </c>
      <c r="D32" s="43" t="s">
        <v>50</v>
      </c>
      <c r="E32" s="43" t="s">
        <v>123</v>
      </c>
      <c r="F32" s="63" t="s">
        <v>170</v>
      </c>
      <c r="G32" s="29"/>
      <c r="H32" s="52" t="s">
        <v>51</v>
      </c>
      <c r="I32" s="28"/>
    </row>
    <row r="33" spans="2:9" ht="165.75" x14ac:dyDescent="0.25">
      <c r="B33" s="1">
        <v>24</v>
      </c>
      <c r="C33" s="34">
        <v>44179</v>
      </c>
      <c r="D33" s="43" t="s">
        <v>52</v>
      </c>
      <c r="E33" s="43" t="s">
        <v>123</v>
      </c>
      <c r="F33" s="64" t="s">
        <v>48</v>
      </c>
      <c r="G33" s="29"/>
      <c r="H33" s="52" t="s">
        <v>51</v>
      </c>
      <c r="I33" s="28"/>
    </row>
    <row r="34" spans="2:9" ht="129" customHeight="1" x14ac:dyDescent="0.25">
      <c r="B34" s="25">
        <v>25</v>
      </c>
      <c r="C34" s="34">
        <v>44344</v>
      </c>
      <c r="D34" s="55" t="s">
        <v>106</v>
      </c>
      <c r="E34" s="55" t="s">
        <v>171</v>
      </c>
      <c r="F34" s="89" t="s">
        <v>173</v>
      </c>
      <c r="G34" s="29"/>
      <c r="H34" s="52" t="s">
        <v>54</v>
      </c>
      <c r="I34" s="28"/>
    </row>
    <row r="35" spans="2:9" ht="409.5" x14ac:dyDescent="0.25">
      <c r="B35" s="1">
        <v>26</v>
      </c>
      <c r="C35" s="34">
        <v>44449</v>
      </c>
      <c r="D35" s="43" t="s">
        <v>107</v>
      </c>
      <c r="E35" s="55" t="s">
        <v>172</v>
      </c>
      <c r="F35" s="63" t="s">
        <v>174</v>
      </c>
      <c r="G35" s="29"/>
      <c r="H35" s="50" t="s">
        <v>55</v>
      </c>
      <c r="I35" s="28"/>
    </row>
    <row r="36" spans="2:9" ht="75" x14ac:dyDescent="0.25">
      <c r="B36" s="18">
        <v>27</v>
      </c>
      <c r="C36" s="36">
        <v>44589</v>
      </c>
      <c r="D36" s="45" t="s">
        <v>56</v>
      </c>
      <c r="E36" s="59" t="s">
        <v>175</v>
      </c>
      <c r="F36" s="64" t="s">
        <v>48</v>
      </c>
      <c r="G36" s="41"/>
      <c r="H36" s="52" t="s">
        <v>51</v>
      </c>
      <c r="I36" s="28"/>
    </row>
    <row r="37" spans="2:9" ht="170.25" customHeight="1" x14ac:dyDescent="0.25">
      <c r="B37" s="26">
        <v>28</v>
      </c>
      <c r="C37" s="35">
        <v>44855</v>
      </c>
      <c r="D37" s="45" t="s">
        <v>57</v>
      </c>
      <c r="E37" s="59" t="s">
        <v>124</v>
      </c>
      <c r="F37" s="65" t="s">
        <v>168</v>
      </c>
      <c r="G37" s="29"/>
      <c r="H37" s="53" t="s">
        <v>60</v>
      </c>
      <c r="I37" s="28"/>
    </row>
    <row r="38" spans="2:9" ht="409.5" x14ac:dyDescent="0.25">
      <c r="B38" s="18">
        <v>29</v>
      </c>
      <c r="C38" s="35">
        <v>45135</v>
      </c>
      <c r="D38" s="45" t="s">
        <v>108</v>
      </c>
      <c r="E38" s="60" t="s">
        <v>125</v>
      </c>
      <c r="F38" s="65" t="s">
        <v>176</v>
      </c>
      <c r="G38" s="29"/>
      <c r="H38" s="52" t="s">
        <v>62</v>
      </c>
      <c r="I38" s="28"/>
    </row>
    <row r="39" spans="2:9" ht="43.5" customHeight="1" x14ac:dyDescent="0.25">
      <c r="B39" s="18">
        <v>30</v>
      </c>
      <c r="C39" s="37">
        <v>45527</v>
      </c>
      <c r="D39" s="46" t="s">
        <v>63</v>
      </c>
      <c r="E39" s="61"/>
      <c r="F39" s="30"/>
      <c r="G39" s="29"/>
      <c r="H39" s="52"/>
      <c r="I39" s="28"/>
    </row>
    <row r="40" spans="2:9" x14ac:dyDescent="0.25">
      <c r="B40" s="18"/>
      <c r="C40" s="38"/>
      <c r="D40" s="46"/>
      <c r="E40" s="61"/>
      <c r="F40" s="30"/>
      <c r="G40" s="29"/>
      <c r="H40" s="52"/>
      <c r="I40" s="28"/>
    </row>
    <row r="41" spans="2:9" x14ac:dyDescent="0.25">
      <c r="B41" s="18"/>
      <c r="C41" s="38"/>
      <c r="D41" s="46"/>
      <c r="E41" s="61"/>
      <c r="F41" s="30"/>
      <c r="G41" s="29"/>
      <c r="H41" s="52"/>
      <c r="I41" s="28"/>
    </row>
    <row r="42" spans="2:9" x14ac:dyDescent="0.25">
      <c r="B42" s="18"/>
      <c r="C42" s="39"/>
      <c r="D42" s="46"/>
      <c r="E42" s="61"/>
      <c r="F42" s="30"/>
      <c r="G42" s="29"/>
      <c r="H42" s="52"/>
      <c r="I42" s="28"/>
    </row>
    <row r="43" spans="2:9" x14ac:dyDescent="0.25">
      <c r="B43" s="11"/>
      <c r="C43" s="40"/>
      <c r="D43" s="47"/>
      <c r="E43" s="51"/>
      <c r="F43" s="14"/>
      <c r="G43" s="31"/>
      <c r="H43" s="54"/>
    </row>
    <row r="44" spans="2:9" x14ac:dyDescent="0.25">
      <c r="B44" s="11"/>
      <c r="C44" s="40"/>
      <c r="D44" s="48"/>
      <c r="E44" s="51"/>
      <c r="F44" s="14"/>
    </row>
    <row r="45" spans="2:9" x14ac:dyDescent="0.25">
      <c r="B45" s="11"/>
      <c r="C45" s="40"/>
      <c r="D45" s="48"/>
      <c r="E45" s="51"/>
      <c r="F45" s="14"/>
    </row>
    <row r="46" spans="2:9" x14ac:dyDescent="0.25">
      <c r="B46" s="11"/>
      <c r="C46" s="40"/>
      <c r="D46" s="48"/>
      <c r="E46" s="51"/>
      <c r="F46" s="14"/>
    </row>
    <row r="47" spans="2:9" x14ac:dyDescent="0.25">
      <c r="B47" s="11"/>
      <c r="C47" s="40"/>
      <c r="D47" s="48"/>
      <c r="E47" s="51"/>
      <c r="F47" s="14"/>
    </row>
    <row r="48" spans="2:9" x14ac:dyDescent="0.25">
      <c r="B48" s="11"/>
      <c r="C48" s="40"/>
      <c r="E48" s="51"/>
      <c r="F48" s="16"/>
    </row>
    <row r="49" spans="1:6" x14ac:dyDescent="0.25">
      <c r="B49" s="11"/>
      <c r="C49" s="40"/>
      <c r="E49" s="51"/>
      <c r="F49" s="16"/>
    </row>
    <row r="50" spans="1:6" x14ac:dyDescent="0.25">
      <c r="A50" s="90"/>
      <c r="B50" s="11"/>
      <c r="C50" s="40"/>
      <c r="E50" s="51"/>
      <c r="F50" s="16"/>
    </row>
    <row r="51" spans="1:6" x14ac:dyDescent="0.25">
      <c r="B51" s="11"/>
      <c r="C51" s="40"/>
      <c r="E51" s="51"/>
      <c r="F51" s="16"/>
    </row>
    <row r="52" spans="1:6" x14ac:dyDescent="0.25">
      <c r="B52" s="11"/>
      <c r="C52" s="40"/>
      <c r="E52" s="51"/>
      <c r="F52" s="16"/>
    </row>
    <row r="53" spans="1:6" x14ac:dyDescent="0.25">
      <c r="B53" s="11"/>
      <c r="C53" s="40"/>
      <c r="E53" s="51"/>
      <c r="F53" s="16"/>
    </row>
    <row r="54" spans="1:6" x14ac:dyDescent="0.25">
      <c r="B54" s="11"/>
      <c r="C54" s="40"/>
      <c r="E54" s="51"/>
      <c r="F54" s="16"/>
    </row>
    <row r="55" spans="1:6" x14ac:dyDescent="0.25">
      <c r="B55" s="11"/>
      <c r="C55" s="40"/>
      <c r="E55" s="51"/>
      <c r="F55" s="16"/>
    </row>
    <row r="56" spans="1:6" x14ac:dyDescent="0.25">
      <c r="B56" s="11"/>
      <c r="C56" s="40"/>
      <c r="E56" s="51"/>
      <c r="F56" s="16"/>
    </row>
    <row r="57" spans="1:6" x14ac:dyDescent="0.25">
      <c r="B57" s="11"/>
      <c r="C57" s="40"/>
      <c r="E57" s="51"/>
      <c r="F57" s="16"/>
    </row>
    <row r="58" spans="1:6" x14ac:dyDescent="0.25">
      <c r="B58" s="11"/>
      <c r="C58" s="40"/>
      <c r="E58" s="51"/>
      <c r="F58" s="16"/>
    </row>
    <row r="59" spans="1:6" x14ac:dyDescent="0.25">
      <c r="B59" s="11"/>
      <c r="C59" s="40"/>
      <c r="E59" s="51"/>
      <c r="F59" s="16"/>
    </row>
    <row r="60" spans="1:6" x14ac:dyDescent="0.25">
      <c r="B60" s="11"/>
      <c r="C60" s="40"/>
      <c r="E60" s="51"/>
      <c r="F60" s="16"/>
    </row>
    <row r="61" spans="1:6" x14ac:dyDescent="0.25">
      <c r="B61" s="11"/>
      <c r="C61" s="40"/>
      <c r="E61" s="51"/>
      <c r="F61" s="16"/>
    </row>
    <row r="62" spans="1:6" x14ac:dyDescent="0.25">
      <c r="B62" s="11"/>
      <c r="C62" s="40"/>
      <c r="E62" s="51"/>
      <c r="F62" s="16"/>
    </row>
    <row r="63" spans="1:6" x14ac:dyDescent="0.25">
      <c r="B63" s="11"/>
      <c r="C63" s="40"/>
      <c r="E63" s="51"/>
      <c r="F63" s="16"/>
    </row>
    <row r="64" spans="1:6" x14ac:dyDescent="0.25">
      <c r="B64" s="11"/>
      <c r="C64" s="40"/>
      <c r="E64" s="51"/>
      <c r="F64" s="16"/>
    </row>
    <row r="65" spans="2:6" x14ac:dyDescent="0.25">
      <c r="B65" s="11"/>
      <c r="C65" s="40"/>
      <c r="E65" s="51"/>
      <c r="F65" s="16"/>
    </row>
    <row r="66" spans="2:6" x14ac:dyDescent="0.25">
      <c r="B66" s="11"/>
      <c r="C66" s="40"/>
      <c r="E66" s="51"/>
      <c r="F66" s="16"/>
    </row>
    <row r="67" spans="2:6" x14ac:dyDescent="0.25">
      <c r="B67" s="11"/>
      <c r="C67" s="40"/>
      <c r="E67" s="51"/>
      <c r="F67" s="16"/>
    </row>
    <row r="68" spans="2:6" x14ac:dyDescent="0.25">
      <c r="B68" s="11"/>
      <c r="C68" s="40"/>
      <c r="E68" s="51"/>
      <c r="F68" s="16"/>
    </row>
    <row r="69" spans="2:6" x14ac:dyDescent="0.25">
      <c r="B69" s="11"/>
      <c r="C69" s="40"/>
      <c r="E69" s="51"/>
      <c r="F69" s="16"/>
    </row>
    <row r="70" spans="2:6" x14ac:dyDescent="0.25">
      <c r="B70" s="11"/>
      <c r="C70" s="40"/>
      <c r="E70" s="51"/>
      <c r="F70" s="16"/>
    </row>
    <row r="71" spans="2:6" x14ac:dyDescent="0.25">
      <c r="B71" s="11"/>
      <c r="C71" s="40"/>
      <c r="E71" s="51"/>
      <c r="F71" s="16"/>
    </row>
    <row r="72" spans="2:6" x14ac:dyDescent="0.25">
      <c r="B72" s="11"/>
      <c r="C72" s="40"/>
      <c r="E72" s="51"/>
      <c r="F72" s="16"/>
    </row>
    <row r="73" spans="2:6" x14ac:dyDescent="0.25">
      <c r="B73" s="11"/>
      <c r="C73" s="40"/>
      <c r="E73" s="51"/>
      <c r="F73" s="16"/>
    </row>
    <row r="74" spans="2:6" x14ac:dyDescent="0.25">
      <c r="B74" s="11"/>
      <c r="C74" s="40"/>
      <c r="E74" s="51"/>
      <c r="F74" s="16"/>
    </row>
    <row r="75" spans="2:6" x14ac:dyDescent="0.25">
      <c r="B75" s="11"/>
      <c r="C75" s="40"/>
      <c r="E75" s="51"/>
      <c r="F75" s="16"/>
    </row>
    <row r="76" spans="2:6" x14ac:dyDescent="0.25">
      <c r="B76" s="11"/>
      <c r="C76" s="40"/>
      <c r="E76" s="51"/>
      <c r="F76" s="16"/>
    </row>
    <row r="77" spans="2:6" x14ac:dyDescent="0.25">
      <c r="B77" s="11"/>
      <c r="C77" s="40"/>
      <c r="E77" s="51"/>
      <c r="F77" s="16"/>
    </row>
    <row r="78" spans="2:6" x14ac:dyDescent="0.25">
      <c r="B78" s="11"/>
      <c r="C78" s="40"/>
      <c r="E78" s="51"/>
      <c r="F78" s="16"/>
    </row>
    <row r="79" spans="2:6" x14ac:dyDescent="0.25">
      <c r="B79" s="11"/>
      <c r="C79" s="40"/>
      <c r="E79" s="51"/>
      <c r="F79" s="16"/>
    </row>
    <row r="80" spans="2:6" x14ac:dyDescent="0.25">
      <c r="B80" s="11"/>
      <c r="C80" s="40"/>
      <c r="E80" s="51"/>
      <c r="F80" s="16"/>
    </row>
    <row r="81" spans="2:6" x14ac:dyDescent="0.25">
      <c r="B81" s="11"/>
      <c r="C81" s="40"/>
      <c r="E81" s="51"/>
      <c r="F81" s="16"/>
    </row>
    <row r="82" spans="2:6" x14ac:dyDescent="0.25">
      <c r="B82" s="11"/>
      <c r="C82" s="40"/>
      <c r="E82" s="51"/>
      <c r="F82" s="16"/>
    </row>
    <row r="83" spans="2:6" x14ac:dyDescent="0.25">
      <c r="B83" s="11"/>
      <c r="C83" s="40"/>
      <c r="E83" s="51"/>
      <c r="F83" s="16"/>
    </row>
    <row r="84" spans="2:6" x14ac:dyDescent="0.25">
      <c r="B84" s="11"/>
      <c r="C84" s="40"/>
      <c r="E84" s="51"/>
      <c r="F84" s="16"/>
    </row>
    <row r="85" spans="2:6" x14ac:dyDescent="0.25">
      <c r="B85" s="11"/>
      <c r="C85" s="40"/>
      <c r="E85" s="51"/>
      <c r="F85" s="16"/>
    </row>
    <row r="86" spans="2:6" x14ac:dyDescent="0.25">
      <c r="B86" s="11"/>
      <c r="C86" s="40"/>
      <c r="E86" s="51"/>
      <c r="F86" s="16"/>
    </row>
    <row r="87" spans="2:6" x14ac:dyDescent="0.25">
      <c r="B87" s="11"/>
      <c r="C87" s="40"/>
      <c r="E87" s="51"/>
      <c r="F87" s="16"/>
    </row>
    <row r="88" spans="2:6" x14ac:dyDescent="0.25">
      <c r="B88" s="11"/>
      <c r="C88" s="40"/>
      <c r="E88" s="51"/>
      <c r="F88" s="16"/>
    </row>
    <row r="89" spans="2:6" x14ac:dyDescent="0.25">
      <c r="B89" s="11"/>
      <c r="C89" s="40"/>
      <c r="E89" s="51"/>
      <c r="F89" s="16"/>
    </row>
    <row r="90" spans="2:6" x14ac:dyDescent="0.25">
      <c r="B90" s="11"/>
      <c r="C90" s="40"/>
      <c r="E90" s="51"/>
      <c r="F90" s="16"/>
    </row>
    <row r="91" spans="2:6" x14ac:dyDescent="0.25">
      <c r="B91" s="11"/>
      <c r="C91" s="40"/>
      <c r="E91" s="51"/>
      <c r="F91" s="16"/>
    </row>
    <row r="92" spans="2:6" x14ac:dyDescent="0.25">
      <c r="B92" s="11"/>
      <c r="C92" s="40"/>
      <c r="E92" s="51"/>
      <c r="F92" s="16"/>
    </row>
    <row r="93" spans="2:6" x14ac:dyDescent="0.25">
      <c r="B93" s="11"/>
      <c r="C93" s="40"/>
      <c r="E93" s="51"/>
      <c r="F93" s="16"/>
    </row>
    <row r="94" spans="2:6" x14ac:dyDescent="0.25">
      <c r="B94" s="11"/>
      <c r="C94" s="40"/>
      <c r="E94" s="51"/>
      <c r="F94" s="16"/>
    </row>
    <row r="95" spans="2:6" x14ac:dyDescent="0.25">
      <c r="B95" s="11"/>
      <c r="C95" s="40"/>
      <c r="E95" s="51"/>
      <c r="F95" s="16"/>
    </row>
    <row r="96" spans="2:6" x14ac:dyDescent="0.25">
      <c r="B96" s="11"/>
      <c r="C96" s="40"/>
      <c r="E96" s="51"/>
      <c r="F96" s="16"/>
    </row>
  </sheetData>
  <autoFilter ref="A8:I39" xr:uid="{5E77D97F-E30E-4FF9-A81E-B69458992002}"/>
  <mergeCells count="10">
    <mergeCell ref="B7:B8"/>
    <mergeCell ref="C7:C8"/>
    <mergeCell ref="D7:D8"/>
    <mergeCell ref="E7:E8"/>
    <mergeCell ref="F7:F8"/>
    <mergeCell ref="J7:J8"/>
    <mergeCell ref="I7:I8"/>
    <mergeCell ref="G7:G8"/>
    <mergeCell ref="H7:H8"/>
    <mergeCell ref="C2:F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AF0AB51-BFAB-4631-B6F0-A3F7BA932F9A}">
          <x14:formula1>
            <xm:f>Hoja2!$A$32:$A$34</xm:f>
          </x14:formula1>
          <xm:sqref>I9:I42</xm:sqref>
        </x14:dataValidation>
        <x14:dataValidation type="list" allowBlank="1" showInputMessage="1" showErrorMessage="1" xr:uid="{C363AAAC-CCCD-481E-BFAA-87097EBF7323}">
          <x14:formula1>
            <xm:f>Hoja2!$B$32:$B$33</xm:f>
          </x14:formula1>
          <xm:sqref>G9:G43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
  <sheetViews>
    <sheetView zoomScale="115" zoomScaleNormal="115" workbookViewId="0">
      <pane xSplit="1" ySplit="8" topLeftCell="B11" activePane="bottomRight" state="frozen"/>
      <selection pane="topRight" activeCell="B1" sqref="B1"/>
      <selection pane="bottomLeft" activeCell="A9" sqref="A9"/>
      <selection pane="bottomRight" activeCell="E9" sqref="E9"/>
    </sheetView>
  </sheetViews>
  <sheetFormatPr baseColWidth="10" defaultColWidth="11.42578125" defaultRowHeight="15" x14ac:dyDescent="0.25"/>
  <cols>
    <col min="1" max="1" width="19.85546875" customWidth="1"/>
    <col min="2" max="2" width="6.28515625" customWidth="1"/>
    <col min="3" max="3" width="13.85546875" customWidth="1"/>
    <col min="4" max="4" width="52.7109375" style="6" customWidth="1"/>
    <col min="5" max="5" width="24.7109375" customWidth="1"/>
    <col min="6" max="6" width="19.5703125" customWidth="1"/>
    <col min="7" max="7" width="16.42578125" customWidth="1"/>
  </cols>
  <sheetData>
    <row r="1" spans="1:6" ht="15" customHeight="1" x14ac:dyDescent="0.25">
      <c r="A1" s="3"/>
      <c r="B1" s="3"/>
      <c r="C1" s="3"/>
      <c r="D1" s="4"/>
      <c r="E1" s="3"/>
      <c r="F1" s="3"/>
    </row>
    <row r="2" spans="1:6" ht="15" customHeight="1" x14ac:dyDescent="0.25">
      <c r="A2" s="3"/>
      <c r="C2" s="69" t="s">
        <v>0</v>
      </c>
      <c r="D2" s="69"/>
      <c r="E2" s="69"/>
      <c r="F2" s="69"/>
    </row>
    <row r="3" spans="1:6" ht="15" customHeight="1" x14ac:dyDescent="0.25">
      <c r="A3" s="3"/>
      <c r="B3" s="3"/>
      <c r="C3" s="69"/>
      <c r="D3" s="69"/>
      <c r="E3" s="69"/>
      <c r="F3" s="69"/>
    </row>
    <row r="4" spans="1:6" ht="15" customHeight="1" x14ac:dyDescent="0.25">
      <c r="A4" s="3"/>
      <c r="B4" s="3"/>
      <c r="C4" s="69"/>
      <c r="D4" s="69"/>
      <c r="E4" s="69"/>
      <c r="F4" s="69"/>
    </row>
    <row r="5" spans="1:6" ht="15" customHeight="1" x14ac:dyDescent="0.25">
      <c r="A5" s="3"/>
      <c r="B5" s="3"/>
      <c r="C5" s="69"/>
      <c r="D5" s="69"/>
      <c r="E5" s="69"/>
      <c r="F5" s="69"/>
    </row>
    <row r="6" spans="1:6" ht="8.25" customHeight="1" thickBot="1" x14ac:dyDescent="0.3">
      <c r="A6" s="3"/>
      <c r="B6" s="3"/>
      <c r="C6" s="70"/>
      <c r="D6" s="70"/>
      <c r="E6" s="70"/>
      <c r="F6" s="70"/>
    </row>
    <row r="7" spans="1:6" ht="35.25" customHeight="1" x14ac:dyDescent="0.25">
      <c r="B7" s="71" t="s">
        <v>1</v>
      </c>
      <c r="C7" s="81" t="s">
        <v>2</v>
      </c>
      <c r="D7" s="81" t="s">
        <v>3</v>
      </c>
      <c r="E7" s="85" t="s">
        <v>64</v>
      </c>
      <c r="F7" s="83" t="s">
        <v>5</v>
      </c>
    </row>
    <row r="8" spans="1:6" x14ac:dyDescent="0.25">
      <c r="B8" s="72"/>
      <c r="C8" s="82"/>
      <c r="D8" s="82"/>
      <c r="E8" s="86"/>
      <c r="F8" s="84"/>
    </row>
    <row r="9" spans="1:6" ht="64.5" customHeight="1" x14ac:dyDescent="0.25">
      <c r="B9" s="1">
        <v>0</v>
      </c>
      <c r="C9" s="2">
        <v>40947</v>
      </c>
      <c r="D9" s="5" t="s">
        <v>65</v>
      </c>
      <c r="E9" s="8" t="s">
        <v>8</v>
      </c>
      <c r="F9" s="1"/>
    </row>
    <row r="10" spans="1:6" ht="153.75" customHeight="1" x14ac:dyDescent="0.25">
      <c r="B10" s="1">
        <v>1</v>
      </c>
      <c r="C10" s="2">
        <v>41025</v>
      </c>
      <c r="D10" s="5" t="s">
        <v>66</v>
      </c>
      <c r="E10" s="8" t="s">
        <v>10</v>
      </c>
      <c r="F10" s="1"/>
    </row>
    <row r="11" spans="1:6" ht="140.25" x14ac:dyDescent="0.25">
      <c r="B11" s="1">
        <v>2</v>
      </c>
      <c r="C11" s="2">
        <v>41047</v>
      </c>
      <c r="D11" s="5" t="s">
        <v>67</v>
      </c>
      <c r="E11" s="8"/>
      <c r="F11" s="1"/>
    </row>
    <row r="12" spans="1:6" ht="102" x14ac:dyDescent="0.25">
      <c r="B12" s="1">
        <v>3</v>
      </c>
      <c r="C12" s="2">
        <v>41095</v>
      </c>
      <c r="D12" s="5" t="s">
        <v>68</v>
      </c>
      <c r="E12" s="8" t="s">
        <v>69</v>
      </c>
      <c r="F12" s="1"/>
    </row>
    <row r="13" spans="1:6" ht="25.5" x14ac:dyDescent="0.25">
      <c r="B13" s="1">
        <v>4</v>
      </c>
      <c r="C13" s="2">
        <v>41151</v>
      </c>
      <c r="D13" s="5" t="s">
        <v>12</v>
      </c>
      <c r="E13" s="8" t="s">
        <v>70</v>
      </c>
      <c r="F13" s="1"/>
    </row>
    <row r="14" spans="1:6" ht="38.25" x14ac:dyDescent="0.25">
      <c r="B14" s="1">
        <v>5</v>
      </c>
      <c r="C14" s="2">
        <v>41250</v>
      </c>
      <c r="D14" s="5" t="s">
        <v>71</v>
      </c>
      <c r="E14" s="8" t="s">
        <v>14</v>
      </c>
      <c r="F14" s="1"/>
    </row>
    <row r="15" spans="1:6" ht="51" x14ac:dyDescent="0.25">
      <c r="B15" s="1">
        <v>6</v>
      </c>
      <c r="C15" s="2">
        <v>41348</v>
      </c>
      <c r="D15" s="5" t="s">
        <v>72</v>
      </c>
      <c r="E15" s="8" t="s">
        <v>15</v>
      </c>
      <c r="F15" s="1"/>
    </row>
    <row r="16" spans="1:6" ht="63.75" x14ac:dyDescent="0.25">
      <c r="B16" s="1">
        <v>7</v>
      </c>
      <c r="C16" s="2">
        <v>41424</v>
      </c>
      <c r="D16" s="5" t="s">
        <v>73</v>
      </c>
      <c r="E16" s="8" t="s">
        <v>17</v>
      </c>
      <c r="F16" s="1"/>
    </row>
    <row r="17" spans="2:6" ht="51" x14ac:dyDescent="0.25">
      <c r="B17" s="1">
        <v>8</v>
      </c>
      <c r="C17" s="2">
        <v>41593</v>
      </c>
      <c r="D17" s="5" t="s">
        <v>74</v>
      </c>
      <c r="E17" s="8" t="s">
        <v>19</v>
      </c>
      <c r="F17" s="1"/>
    </row>
    <row r="18" spans="2:6" ht="39" customHeight="1" x14ac:dyDescent="0.25">
      <c r="B18" s="1">
        <v>9</v>
      </c>
      <c r="C18" s="2">
        <v>41754</v>
      </c>
      <c r="D18" s="5" t="s">
        <v>75</v>
      </c>
      <c r="E18" s="8" t="s">
        <v>21</v>
      </c>
      <c r="F18" s="1"/>
    </row>
    <row r="19" spans="2:6" ht="38.25" x14ac:dyDescent="0.25">
      <c r="B19" s="1">
        <v>10</v>
      </c>
      <c r="C19" s="2">
        <v>41929</v>
      </c>
      <c r="D19" s="5" t="s">
        <v>76</v>
      </c>
      <c r="E19" s="8"/>
      <c r="F19" s="1"/>
    </row>
    <row r="20" spans="2:6" ht="59.25" customHeight="1" x14ac:dyDescent="0.25">
      <c r="B20" s="1">
        <v>11</v>
      </c>
      <c r="C20" s="2">
        <v>42110</v>
      </c>
      <c r="D20" s="5" t="s">
        <v>77</v>
      </c>
      <c r="E20" s="8" t="s">
        <v>23</v>
      </c>
      <c r="F20" s="1"/>
    </row>
    <row r="21" spans="2:6" ht="63.75" x14ac:dyDescent="0.25">
      <c r="B21" s="1">
        <v>12</v>
      </c>
      <c r="C21" s="2">
        <v>42187</v>
      </c>
      <c r="D21" s="5" t="s">
        <v>78</v>
      </c>
      <c r="E21" s="8" t="s">
        <v>25</v>
      </c>
      <c r="F21" s="1"/>
    </row>
    <row r="22" spans="2:6" ht="51" x14ac:dyDescent="0.25">
      <c r="B22" s="1">
        <v>13</v>
      </c>
      <c r="C22" s="2">
        <v>42342</v>
      </c>
      <c r="D22" s="5" t="s">
        <v>79</v>
      </c>
      <c r="E22" s="8" t="s">
        <v>26</v>
      </c>
      <c r="F22" s="1"/>
    </row>
    <row r="23" spans="2:6" ht="53.25" customHeight="1" x14ac:dyDescent="0.25">
      <c r="B23" s="1">
        <v>14</v>
      </c>
      <c r="C23" s="2">
        <v>42531</v>
      </c>
      <c r="D23" s="5" t="s">
        <v>80</v>
      </c>
      <c r="E23" s="8" t="s">
        <v>28</v>
      </c>
      <c r="F23" s="1"/>
    </row>
    <row r="24" spans="2:6" ht="57" customHeight="1" x14ac:dyDescent="0.25">
      <c r="B24" s="1">
        <v>15</v>
      </c>
      <c r="C24" s="2">
        <v>42706</v>
      </c>
      <c r="D24" s="5" t="s">
        <v>81</v>
      </c>
      <c r="E24" s="8" t="s">
        <v>30</v>
      </c>
      <c r="F24" s="1"/>
    </row>
    <row r="25" spans="2:6" ht="51" x14ac:dyDescent="0.25">
      <c r="B25" s="1">
        <v>16</v>
      </c>
      <c r="C25" s="2">
        <v>42825</v>
      </c>
      <c r="D25" s="5" t="s">
        <v>32</v>
      </c>
      <c r="E25" s="8" t="s">
        <v>33</v>
      </c>
      <c r="F25" s="1" t="s">
        <v>34</v>
      </c>
    </row>
    <row r="26" spans="2:6" ht="38.25" x14ac:dyDescent="0.25">
      <c r="B26" s="1">
        <v>17</v>
      </c>
      <c r="C26" s="2">
        <v>43007</v>
      </c>
      <c r="D26" s="5" t="s">
        <v>82</v>
      </c>
      <c r="E26" s="9" t="s">
        <v>36</v>
      </c>
      <c r="F26" s="1" t="s">
        <v>34</v>
      </c>
    </row>
    <row r="27" spans="2:6" ht="63.75" x14ac:dyDescent="0.25">
      <c r="B27" s="1">
        <v>18</v>
      </c>
      <c r="C27" s="2">
        <v>43356</v>
      </c>
      <c r="D27" s="5" t="s">
        <v>83</v>
      </c>
      <c r="E27" s="8" t="s">
        <v>38</v>
      </c>
      <c r="F27" s="1" t="s">
        <v>34</v>
      </c>
    </row>
    <row r="28" spans="2:6" ht="116.25" customHeight="1" x14ac:dyDescent="0.25">
      <c r="B28" s="1">
        <v>19</v>
      </c>
      <c r="C28" s="2">
        <v>43559</v>
      </c>
      <c r="D28" s="7" t="s">
        <v>84</v>
      </c>
      <c r="E28" s="8" t="s">
        <v>40</v>
      </c>
      <c r="F28" s="1" t="s">
        <v>34</v>
      </c>
    </row>
    <row r="29" spans="2:6" ht="175.5" customHeight="1" x14ac:dyDescent="0.25">
      <c r="B29" s="1">
        <v>20</v>
      </c>
      <c r="C29" s="17">
        <v>43671</v>
      </c>
      <c r="D29" s="5" t="s">
        <v>85</v>
      </c>
      <c r="E29" s="1" t="s">
        <v>42</v>
      </c>
      <c r="F29" s="1"/>
    </row>
    <row r="30" spans="2:6" ht="178.5" x14ac:dyDescent="0.25">
      <c r="B30" s="1">
        <v>21</v>
      </c>
      <c r="C30" s="2">
        <v>43882</v>
      </c>
      <c r="D30" s="5" t="s">
        <v>86</v>
      </c>
      <c r="E30" s="1" t="s">
        <v>87</v>
      </c>
      <c r="F30" s="1" t="s">
        <v>45</v>
      </c>
    </row>
    <row r="31" spans="2:6" ht="63.75" x14ac:dyDescent="0.25">
      <c r="B31" s="1">
        <v>22</v>
      </c>
      <c r="C31" s="2">
        <v>44148</v>
      </c>
      <c r="D31" s="5" t="s">
        <v>88</v>
      </c>
      <c r="E31" s="1" t="s">
        <v>87</v>
      </c>
      <c r="F31" s="1" t="s">
        <v>48</v>
      </c>
    </row>
    <row r="32" spans="2:6" ht="53.25" customHeight="1" x14ac:dyDescent="0.25">
      <c r="B32" s="1">
        <v>23</v>
      </c>
      <c r="C32" s="2">
        <v>44175</v>
      </c>
      <c r="D32" s="5" t="s">
        <v>50</v>
      </c>
      <c r="E32" s="1" t="s">
        <v>89</v>
      </c>
      <c r="F32" s="1" t="s">
        <v>48</v>
      </c>
    </row>
    <row r="33" spans="2:6" ht="178.5" x14ac:dyDescent="0.25">
      <c r="B33" s="1">
        <v>24</v>
      </c>
      <c r="C33" s="2">
        <v>44179</v>
      </c>
      <c r="D33" s="5" t="s">
        <v>52</v>
      </c>
      <c r="E33" s="1" t="s">
        <v>89</v>
      </c>
      <c r="F33" s="1" t="s">
        <v>48</v>
      </c>
    </row>
    <row r="34" spans="2:6" ht="129" customHeight="1" x14ac:dyDescent="0.25">
      <c r="B34" s="25">
        <v>25</v>
      </c>
      <c r="C34" s="2">
        <v>44344</v>
      </c>
      <c r="D34" s="5" t="s">
        <v>90</v>
      </c>
      <c r="E34" s="1" t="s">
        <v>87</v>
      </c>
      <c r="F34" s="25" t="s">
        <v>53</v>
      </c>
    </row>
    <row r="35" spans="2:6" ht="102" x14ac:dyDescent="0.25">
      <c r="B35" s="1">
        <v>26</v>
      </c>
      <c r="C35" s="2">
        <v>44449</v>
      </c>
      <c r="D35" s="5" t="s">
        <v>91</v>
      </c>
      <c r="E35" s="1" t="s">
        <v>87</v>
      </c>
      <c r="F35" s="1" t="s">
        <v>48</v>
      </c>
    </row>
    <row r="36" spans="2:6" ht="45" x14ac:dyDescent="0.25">
      <c r="B36" s="18">
        <v>27</v>
      </c>
      <c r="C36" s="24">
        <v>44589</v>
      </c>
      <c r="D36" s="20" t="s">
        <v>56</v>
      </c>
      <c r="E36" s="19" t="s">
        <v>92</v>
      </c>
      <c r="F36" s="1" t="s">
        <v>48</v>
      </c>
    </row>
    <row r="37" spans="2:6" ht="170.25" customHeight="1" x14ac:dyDescent="0.25">
      <c r="B37" s="26">
        <v>28</v>
      </c>
      <c r="C37" s="17">
        <v>44855</v>
      </c>
      <c r="D37" s="20" t="s">
        <v>57</v>
      </c>
      <c r="E37" s="19" t="s">
        <v>93</v>
      </c>
      <c r="F37" s="19" t="s">
        <v>58</v>
      </c>
    </row>
    <row r="38" spans="2:6" ht="43.5" customHeight="1" x14ac:dyDescent="0.25">
      <c r="B38" s="18">
        <v>29</v>
      </c>
      <c r="C38" s="17">
        <v>45135</v>
      </c>
      <c r="D38" s="22" t="s">
        <v>94</v>
      </c>
      <c r="E38" s="19" t="s">
        <v>95</v>
      </c>
      <c r="F38" s="19" t="s">
        <v>61</v>
      </c>
    </row>
    <row r="39" spans="2:6" ht="43.5" customHeight="1" x14ac:dyDescent="0.25">
      <c r="B39" s="18">
        <v>30</v>
      </c>
      <c r="C39" s="27">
        <v>45527</v>
      </c>
      <c r="D39" s="22" t="s">
        <v>63</v>
      </c>
      <c r="E39" s="19"/>
      <c r="F39" s="21"/>
    </row>
    <row r="40" spans="2:6" x14ac:dyDescent="0.25">
      <c r="B40" s="18"/>
      <c r="C40" s="23"/>
      <c r="D40" s="22"/>
      <c r="E40" s="19"/>
      <c r="F40" s="21"/>
    </row>
    <row r="41" spans="2:6" x14ac:dyDescent="0.25">
      <c r="B41" s="18"/>
      <c r="C41" s="23"/>
      <c r="D41" s="22"/>
      <c r="E41" s="19"/>
      <c r="F41" s="21"/>
    </row>
    <row r="42" spans="2:6" x14ac:dyDescent="0.25">
      <c r="B42" s="18"/>
      <c r="C42" s="1"/>
      <c r="D42" s="22"/>
      <c r="E42" s="19"/>
      <c r="F42" s="21"/>
    </row>
    <row r="43" spans="2:6" x14ac:dyDescent="0.25">
      <c r="B43" s="11"/>
      <c r="C43" s="10"/>
      <c r="D43" s="15"/>
      <c r="E43" s="12"/>
      <c r="F43" s="14"/>
    </row>
    <row r="44" spans="2:6" x14ac:dyDescent="0.25">
      <c r="B44" s="11"/>
      <c r="C44" s="10"/>
      <c r="D44" s="13"/>
      <c r="E44" s="12"/>
      <c r="F44" s="14"/>
    </row>
    <row r="45" spans="2:6" x14ac:dyDescent="0.25">
      <c r="B45" s="11"/>
      <c r="C45" s="10"/>
      <c r="D45" s="13"/>
      <c r="E45" s="12"/>
      <c r="F45" s="14"/>
    </row>
    <row r="46" spans="2:6" x14ac:dyDescent="0.25">
      <c r="B46" s="11"/>
      <c r="C46" s="10"/>
      <c r="D46" s="13"/>
      <c r="E46" s="12"/>
      <c r="F46" s="14"/>
    </row>
    <row r="47" spans="2:6" x14ac:dyDescent="0.25">
      <c r="B47" s="11"/>
      <c r="C47" s="10"/>
      <c r="D47" s="13"/>
      <c r="E47" s="12"/>
      <c r="F47" s="14"/>
    </row>
    <row r="48" spans="2:6" x14ac:dyDescent="0.25">
      <c r="B48" s="11"/>
      <c r="C48" s="10"/>
      <c r="E48" s="12"/>
      <c r="F48" s="16"/>
    </row>
    <row r="49" spans="2:6" x14ac:dyDescent="0.25">
      <c r="B49" s="11"/>
      <c r="C49" s="10"/>
      <c r="E49" s="12"/>
      <c r="F49" s="16"/>
    </row>
    <row r="50" spans="2:6" x14ac:dyDescent="0.25">
      <c r="B50" s="11"/>
      <c r="C50" s="10"/>
      <c r="E50" s="12"/>
      <c r="F50" s="16"/>
    </row>
    <row r="51" spans="2:6" x14ac:dyDescent="0.25">
      <c r="B51" s="11"/>
      <c r="C51" s="10"/>
      <c r="E51" s="12"/>
      <c r="F51" s="16"/>
    </row>
    <row r="52" spans="2:6" x14ac:dyDescent="0.25">
      <c r="B52" s="11"/>
      <c r="C52" s="10"/>
      <c r="E52" s="12"/>
      <c r="F52" s="16"/>
    </row>
    <row r="53" spans="2:6" x14ac:dyDescent="0.25">
      <c r="B53" s="11"/>
      <c r="C53" s="10"/>
      <c r="E53" s="12"/>
      <c r="F53" s="16"/>
    </row>
    <row r="54" spans="2:6" x14ac:dyDescent="0.25">
      <c r="B54" s="11"/>
      <c r="C54" s="10"/>
      <c r="E54" s="12"/>
      <c r="F54" s="16"/>
    </row>
    <row r="55" spans="2:6" x14ac:dyDescent="0.25">
      <c r="B55" s="11"/>
      <c r="C55" s="10"/>
      <c r="E55" s="12"/>
      <c r="F55" s="16"/>
    </row>
    <row r="56" spans="2:6" x14ac:dyDescent="0.25">
      <c r="B56" s="11"/>
      <c r="C56" s="10"/>
      <c r="E56" s="12"/>
      <c r="F56" s="16"/>
    </row>
    <row r="57" spans="2:6" x14ac:dyDescent="0.25">
      <c r="B57" s="11"/>
      <c r="C57" s="10"/>
      <c r="E57" s="12"/>
      <c r="F57" s="16"/>
    </row>
    <row r="58" spans="2:6" x14ac:dyDescent="0.25">
      <c r="B58" s="11"/>
      <c r="C58" s="10"/>
      <c r="E58" s="12"/>
      <c r="F58" s="16"/>
    </row>
    <row r="59" spans="2:6" x14ac:dyDescent="0.25">
      <c r="B59" s="11"/>
      <c r="C59" s="10"/>
      <c r="E59" s="12"/>
      <c r="F59" s="16"/>
    </row>
    <row r="60" spans="2:6" x14ac:dyDescent="0.25">
      <c r="B60" s="11"/>
      <c r="C60" s="10"/>
      <c r="E60" s="12"/>
      <c r="F60" s="16"/>
    </row>
    <row r="61" spans="2:6" x14ac:dyDescent="0.25">
      <c r="B61" s="11"/>
      <c r="C61" s="10"/>
      <c r="E61" s="12"/>
      <c r="F61" s="16"/>
    </row>
    <row r="62" spans="2:6" x14ac:dyDescent="0.25">
      <c r="B62" s="11"/>
      <c r="C62" s="10"/>
      <c r="E62" s="12"/>
      <c r="F62" s="16"/>
    </row>
    <row r="63" spans="2:6" x14ac:dyDescent="0.25">
      <c r="B63" s="11"/>
      <c r="C63" s="10"/>
      <c r="E63" s="12"/>
      <c r="F63" s="16"/>
    </row>
    <row r="64" spans="2:6" x14ac:dyDescent="0.25">
      <c r="B64" s="11"/>
      <c r="C64" s="10"/>
      <c r="E64" s="12"/>
      <c r="F64" s="16"/>
    </row>
    <row r="65" spans="2:6" x14ac:dyDescent="0.25">
      <c r="B65" s="11"/>
      <c r="C65" s="10"/>
      <c r="E65" s="12"/>
      <c r="F65" s="16"/>
    </row>
    <row r="66" spans="2:6" x14ac:dyDescent="0.25">
      <c r="B66" s="11"/>
      <c r="C66" s="10"/>
      <c r="E66" s="12"/>
      <c r="F66" s="16"/>
    </row>
    <row r="67" spans="2:6" x14ac:dyDescent="0.25">
      <c r="B67" s="11"/>
      <c r="C67" s="10"/>
      <c r="E67" s="12"/>
      <c r="F67" s="16"/>
    </row>
    <row r="68" spans="2:6" x14ac:dyDescent="0.25">
      <c r="B68" s="11"/>
      <c r="C68" s="10"/>
      <c r="E68" s="12"/>
      <c r="F68" s="16"/>
    </row>
    <row r="69" spans="2:6" x14ac:dyDescent="0.25">
      <c r="B69" s="11"/>
      <c r="C69" s="10"/>
      <c r="E69" s="12"/>
      <c r="F69" s="16"/>
    </row>
    <row r="70" spans="2:6" x14ac:dyDescent="0.25">
      <c r="B70" s="11"/>
      <c r="C70" s="10"/>
      <c r="E70" s="12"/>
      <c r="F70" s="16"/>
    </row>
    <row r="71" spans="2:6" x14ac:dyDescent="0.25">
      <c r="B71" s="11"/>
      <c r="C71" s="10"/>
      <c r="E71" s="12"/>
      <c r="F71" s="16"/>
    </row>
    <row r="72" spans="2:6" x14ac:dyDescent="0.25">
      <c r="B72" s="11"/>
      <c r="C72" s="10"/>
      <c r="E72" s="12"/>
      <c r="F72" s="16"/>
    </row>
    <row r="73" spans="2:6" x14ac:dyDescent="0.25">
      <c r="B73" s="11"/>
      <c r="C73" s="10"/>
      <c r="E73" s="12"/>
      <c r="F73" s="16"/>
    </row>
    <row r="74" spans="2:6" x14ac:dyDescent="0.25">
      <c r="B74" s="11"/>
      <c r="C74" s="10"/>
      <c r="E74" s="12"/>
      <c r="F74" s="16"/>
    </row>
    <row r="75" spans="2:6" x14ac:dyDescent="0.25">
      <c r="B75" s="11"/>
      <c r="C75" s="10"/>
      <c r="E75" s="12"/>
      <c r="F75" s="16"/>
    </row>
    <row r="76" spans="2:6" x14ac:dyDescent="0.25">
      <c r="B76" s="11"/>
      <c r="C76" s="10"/>
      <c r="E76" s="12"/>
      <c r="F76" s="16"/>
    </row>
    <row r="77" spans="2:6" x14ac:dyDescent="0.25">
      <c r="B77" s="11"/>
      <c r="C77" s="10"/>
      <c r="E77" s="12"/>
      <c r="F77" s="16"/>
    </row>
    <row r="78" spans="2:6" x14ac:dyDescent="0.25">
      <c r="B78" s="11"/>
      <c r="C78" s="10"/>
      <c r="E78" s="12"/>
      <c r="F78" s="16"/>
    </row>
    <row r="79" spans="2:6" x14ac:dyDescent="0.25">
      <c r="B79" s="11"/>
      <c r="C79" s="10"/>
      <c r="E79" s="12"/>
      <c r="F79" s="16"/>
    </row>
    <row r="80" spans="2:6" x14ac:dyDescent="0.25">
      <c r="B80" s="11"/>
      <c r="C80" s="10"/>
      <c r="E80" s="12"/>
      <c r="F80" s="16"/>
    </row>
    <row r="81" spans="2:6" x14ac:dyDescent="0.25">
      <c r="B81" s="11"/>
      <c r="C81" s="10"/>
      <c r="E81" s="12"/>
      <c r="F81" s="16"/>
    </row>
    <row r="82" spans="2:6" x14ac:dyDescent="0.25">
      <c r="B82" s="11"/>
      <c r="C82" s="10"/>
      <c r="E82" s="12"/>
      <c r="F82" s="16"/>
    </row>
    <row r="83" spans="2:6" x14ac:dyDescent="0.25">
      <c r="B83" s="11"/>
      <c r="C83" s="10"/>
      <c r="E83" s="12"/>
      <c r="F83" s="16"/>
    </row>
    <row r="84" spans="2:6" x14ac:dyDescent="0.25">
      <c r="B84" s="11"/>
      <c r="C84" s="10"/>
      <c r="E84" s="12"/>
      <c r="F84" s="16"/>
    </row>
    <row r="85" spans="2:6" x14ac:dyDescent="0.25">
      <c r="B85" s="11"/>
      <c r="C85" s="10"/>
      <c r="E85" s="12"/>
      <c r="F85" s="16"/>
    </row>
    <row r="86" spans="2:6" x14ac:dyDescent="0.25">
      <c r="B86" s="11"/>
      <c r="C86" s="10"/>
      <c r="E86" s="12"/>
      <c r="F86" s="16"/>
    </row>
    <row r="87" spans="2:6" x14ac:dyDescent="0.25">
      <c r="B87" s="11"/>
      <c r="C87" s="10"/>
      <c r="E87" s="12"/>
      <c r="F87" s="16"/>
    </row>
    <row r="88" spans="2:6" x14ac:dyDescent="0.25">
      <c r="B88" s="11"/>
      <c r="C88" s="10"/>
      <c r="E88" s="12"/>
      <c r="F88" s="16"/>
    </row>
    <row r="89" spans="2:6" x14ac:dyDescent="0.25">
      <c r="B89" s="11"/>
      <c r="C89" s="10"/>
      <c r="E89" s="12"/>
      <c r="F89" s="16"/>
    </row>
    <row r="90" spans="2:6" x14ac:dyDescent="0.25">
      <c r="B90" s="11"/>
      <c r="C90" s="10"/>
      <c r="E90" s="12"/>
      <c r="F90" s="16"/>
    </row>
    <row r="91" spans="2:6" x14ac:dyDescent="0.25">
      <c r="B91" s="11"/>
      <c r="C91" s="10"/>
      <c r="E91" s="12"/>
      <c r="F91" s="16"/>
    </row>
    <row r="92" spans="2:6" x14ac:dyDescent="0.25">
      <c r="B92" s="11"/>
      <c r="C92" s="10"/>
      <c r="E92" s="12"/>
      <c r="F92" s="16"/>
    </row>
    <row r="93" spans="2:6" x14ac:dyDescent="0.25">
      <c r="B93" s="11"/>
      <c r="C93" s="10"/>
      <c r="E93" s="12"/>
      <c r="F93" s="16"/>
    </row>
    <row r="94" spans="2:6" x14ac:dyDescent="0.25">
      <c r="B94" s="11"/>
      <c r="C94" s="10"/>
      <c r="E94" s="12"/>
      <c r="F94" s="16"/>
    </row>
    <row r="95" spans="2:6" x14ac:dyDescent="0.25">
      <c r="B95" s="11"/>
      <c r="C95" s="10"/>
      <c r="E95" s="12"/>
      <c r="F95" s="16"/>
    </row>
    <row r="96" spans="2:6" x14ac:dyDescent="0.25">
      <c r="B96" s="11"/>
      <c r="C96" s="10"/>
      <c r="E96" s="12"/>
      <c r="F96" s="16"/>
    </row>
  </sheetData>
  <mergeCells count="6">
    <mergeCell ref="C2:F6"/>
    <mergeCell ref="B7:B8"/>
    <mergeCell ref="D7:D8"/>
    <mergeCell ref="F7:F8"/>
    <mergeCell ref="C7:C8"/>
    <mergeCell ref="E7:E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2:B34"/>
  <sheetViews>
    <sheetView topLeftCell="A29" workbookViewId="0">
      <selection activeCell="B33" sqref="B33"/>
    </sheetView>
  </sheetViews>
  <sheetFormatPr baseColWidth="10" defaultColWidth="11.42578125" defaultRowHeight="15" x14ac:dyDescent="0.25"/>
  <sheetData>
    <row r="32" spans="1:2" x14ac:dyDescent="0.25">
      <c r="A32" t="s">
        <v>111</v>
      </c>
      <c r="B32" t="s">
        <v>59</v>
      </c>
    </row>
    <row r="33" spans="1:2" x14ac:dyDescent="0.25">
      <c r="A33" t="s">
        <v>112</v>
      </c>
      <c r="B33" t="s">
        <v>9</v>
      </c>
    </row>
    <row r="34" spans="1:2" x14ac:dyDescent="0.25">
      <c r="A34"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4:D7"/>
  <sheetViews>
    <sheetView topLeftCell="B1" workbookViewId="0">
      <selection activeCell="D8" sqref="D8"/>
    </sheetView>
  </sheetViews>
  <sheetFormatPr baseColWidth="10" defaultColWidth="11.42578125" defaultRowHeight="15" x14ac:dyDescent="0.25"/>
  <sheetData>
    <row r="4" spans="4:4" x14ac:dyDescent="0.25">
      <c r="D4">
        <v>8576</v>
      </c>
    </row>
    <row r="5" spans="4:4" x14ac:dyDescent="0.25">
      <c r="D5">
        <f>D4*8</f>
        <v>68608</v>
      </c>
    </row>
    <row r="6" spans="4:4" x14ac:dyDescent="0.25">
      <c r="D6">
        <f>D5*5</f>
        <v>343040</v>
      </c>
    </row>
    <row r="7" spans="4:4" x14ac:dyDescent="0.25">
      <c r="D7">
        <f>D6*4</f>
        <v>1372160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0296b15-aa01-4df6-a25e-a5fc8e9dfff1">
      <UserInfo>
        <DisplayName/>
        <AccountId xsi:nil="true"/>
        <AccountType/>
      </UserInfo>
    </SharedWithUsers>
    <TaxCatchAll xmlns="70296b15-aa01-4df6-a25e-a5fc8e9dfff1" xsi:nil="true"/>
    <lcf76f155ced4ddcb4097134ff3c332f xmlns="c21543bc-ed28-4576-82ff-e6507d1d326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9323F3612884A49ABF97BF998A58B4F" ma:contentTypeVersion="16" ma:contentTypeDescription="Crear nuevo documento." ma:contentTypeScope="" ma:versionID="354cb1401b928f47feee5908a28248f6">
  <xsd:schema xmlns:xsd="http://www.w3.org/2001/XMLSchema" xmlns:xs="http://www.w3.org/2001/XMLSchema" xmlns:p="http://schemas.microsoft.com/office/2006/metadata/properties" xmlns:ns2="c21543bc-ed28-4576-82ff-e6507d1d3267" xmlns:ns3="70296b15-aa01-4df6-a25e-a5fc8e9dfff1" targetNamespace="http://schemas.microsoft.com/office/2006/metadata/properties" ma:root="true" ma:fieldsID="11b7628c5abf677b4785130c46879ad3" ns2:_="" ns3:_="">
    <xsd:import namespace="c21543bc-ed28-4576-82ff-e6507d1d3267"/>
    <xsd:import namespace="70296b15-aa01-4df6-a25e-a5fc8e9dfff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1543bc-ed28-4576-82ff-e6507d1d3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8d068974-5b92-4f84-9f7a-5b28e50c742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0296b15-aa01-4df6-a25e-a5fc8e9dfff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25b17e3-c7f0-4f59-b73b-d8844e0a72da}" ma:internalName="TaxCatchAll" ma:showField="CatchAllData" ma:web="70296b15-aa01-4df6-a25e-a5fc8e9dff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EF6E7F-60C5-4A29-AB34-252F482C0208}">
  <ds:schemaRefs>
    <ds:schemaRef ds:uri="http://schemas.microsoft.com/office/2006/metadata/properties"/>
    <ds:schemaRef ds:uri="http://schemas.microsoft.com/office/infopath/2007/PartnerControls"/>
    <ds:schemaRef ds:uri="70296b15-aa01-4df6-a25e-a5fc8e9dfff1"/>
    <ds:schemaRef ds:uri="c21543bc-ed28-4576-82ff-e6507d1d3267"/>
  </ds:schemaRefs>
</ds:datastoreItem>
</file>

<file path=customXml/itemProps2.xml><?xml version="1.0" encoding="utf-8"?>
<ds:datastoreItem xmlns:ds="http://schemas.openxmlformats.org/officeDocument/2006/customXml" ds:itemID="{DC0FB490-D9C5-4125-9ECB-5D3F7CF61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1543bc-ed28-4576-82ff-e6507d1d3267"/>
    <ds:schemaRef ds:uri="70296b15-aa01-4df6-a25e-a5fc8e9dff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1DF2C-872C-4F8B-A8A9-CAAAD698F8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marcela</vt:lpstr>
      <vt:lpstr>Hoja1</vt:lpstr>
      <vt:lpstr>Hoja2</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Johana Katheryne Triana Bernal</dc:creator>
  <cp:keywords/>
  <dc:description/>
  <cp:lastModifiedBy>Pontificia Universidad Javeriana</cp:lastModifiedBy>
  <cp:revision/>
  <dcterms:created xsi:type="dcterms:W3CDTF">2012-12-17T20:11:02Z</dcterms:created>
  <dcterms:modified xsi:type="dcterms:W3CDTF">2026-08-10T17:00:51Z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0x010100E9323F3612884A49ABF97BF998A58B4F</vt:lpwstr>
  </property>
  <property fmtid="{D5CDD505-2E9C-101B-9397-08002B2CF9AE}" pid="4" name="Order">
    <vt:r8>15000</vt:r8>
  </property>
  <property fmtid="{D5CDD505-2E9C-101B-9397-08002B2CF9AE}" pid="5" name="_ExtendedDescription">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MediaServiceImageTags">
    <vt:lpwstr/>
  </property>
</Properties>
</file>