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3"/>
  <workbookPr/>
  <mc:AlternateContent xmlns:mc="http://schemas.openxmlformats.org/markup-compatibility/2006">
    <mc:Choice Requires="x15">
      <x15ac:absPath xmlns:x15ac="http://schemas.microsoft.com/office/spreadsheetml/2010/11/ac" url="/Users/marcelaipial/Desktop/practicas/"/>
    </mc:Choice>
  </mc:AlternateContent>
  <xr:revisionPtr revIDLastSave="0" documentId="13_ncr:1_{81E4D3BA-1176-3848-A2D6-85FA81B210C7}" xr6:coauthVersionLast="45" xr6:coauthVersionMax="47" xr10:uidLastSave="{00000000-0000-0000-0000-000000000000}"/>
  <bookViews>
    <workbookView xWindow="0" yWindow="0" windowWidth="38400" windowHeight="19740" activeTab="5" xr2:uid="{00000000-000D-0000-FFFF-FFFF00000000}"/>
  </bookViews>
  <sheets>
    <sheet name="FormatoGUIA TRDGENERAL" sheetId="1" r:id="rId1"/>
    <sheet name="MAESTRO_TDP_VRAC_FAC_AD_DF_2018" sheetId="5" r:id="rId2"/>
    <sheet name="MAESTRO_TDP_VRAC_FAC_AR_SFA2019" sheetId="2" r:id="rId3"/>
    <sheet name="MAESTRO_TDP_VRAC_FAC_AD_DAC2023" sheetId="6" r:id="rId4"/>
    <sheet name="MAESTRO_TDP_VRACFACADDEPDDI2023" sheetId="7" r:id="rId5"/>
    <sheet name="MAESTRO_TDP_VRACFACADPRECAR2023" sheetId="8" r:id="rId6"/>
  </sheets>
  <externalReferences>
    <externalReference r:id="rId7"/>
    <externalReference r:id="rId8"/>
    <externalReference r:id="rId9"/>
  </externalReferences>
  <definedNames>
    <definedName name="_xlnm._FilterDatabase" localSheetId="0" hidden="1">'FormatoGUIA TRDGENERAL'!$A$1:$AU$1</definedName>
    <definedName name="_xlnm._FilterDatabase" localSheetId="3" hidden="1">MAESTRO_TDP_VRAC_FAC_AD_DAC2023!$A$1:$AU$15</definedName>
    <definedName name="_xlnm._FilterDatabase" localSheetId="1" hidden="1">MAESTRO_TDP_VRAC_FAC_AD_DF_2018!$A$1:$AU$31</definedName>
    <definedName name="_xlnm._FilterDatabase" localSheetId="2" hidden="1">MAESTRO_TDP_VRAC_FAC_AR_SFA2019!$A$1:$AU$15</definedName>
    <definedName name="_xlnm._FilterDatabase" localSheetId="4" hidden="1">MAESTRO_TDP_VRACFACADDEPDDI2023!$A$1:$AU$12</definedName>
    <definedName name="_xlnm._FilterDatabase" localSheetId="5" hidden="1">MAESTRO_TDP_VRACFACADPRECAR2023!$A$1:$AU$15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5" i="8" l="1"/>
  <c r="G14" i="8"/>
  <c r="G13" i="8"/>
  <c r="G12" i="8"/>
  <c r="G11" i="8"/>
  <c r="G10" i="8"/>
  <c r="G9" i="8"/>
  <c r="G8" i="8"/>
  <c r="G7" i="8"/>
  <c r="G6" i="8"/>
  <c r="G5" i="8"/>
  <c r="G4" i="8"/>
  <c r="G3" i="8"/>
  <c r="AH15" i="8" l="1"/>
  <c r="I15" i="8" l="1"/>
  <c r="AP14" i="8"/>
  <c r="AH14" i="8"/>
  <c r="I14" i="8"/>
  <c r="AP13" i="8"/>
  <c r="AH13" i="8"/>
  <c r="I13" i="8"/>
  <c r="AH12" i="8"/>
  <c r="I12" i="8"/>
  <c r="AH11" i="8"/>
  <c r="I11" i="8"/>
  <c r="AP10" i="8"/>
  <c r="AH10" i="8"/>
  <c r="I10" i="8"/>
  <c r="AH9" i="8"/>
  <c r="I9" i="8"/>
  <c r="AP8" i="8"/>
  <c r="AH8" i="8"/>
  <c r="I8" i="8"/>
  <c r="AP7" i="8"/>
  <c r="AH7" i="8"/>
  <c r="I7" i="8"/>
  <c r="AP6" i="8"/>
  <c r="AP5" i="8"/>
  <c r="AH6" i="8"/>
  <c r="I6" i="8"/>
  <c r="AH4" i="8"/>
  <c r="AH5" i="8"/>
  <c r="AH3" i="8"/>
  <c r="I5" i="8"/>
  <c r="I4" i="8"/>
  <c r="I3" i="8"/>
  <c r="AH2" i="8"/>
  <c r="I2" i="8"/>
  <c r="G2" i="8"/>
  <c r="G31" i="5" l="1"/>
  <c r="E31" i="5"/>
  <c r="G30" i="5"/>
  <c r="E30" i="5"/>
  <c r="G29" i="5"/>
  <c r="E29" i="5"/>
  <c r="G28" i="5"/>
  <c r="E28" i="5"/>
  <c r="G27" i="5"/>
  <c r="E27" i="5"/>
  <c r="G26" i="5"/>
  <c r="E26" i="5"/>
  <c r="G25" i="5"/>
  <c r="E25" i="5"/>
  <c r="G24" i="5"/>
  <c r="E24" i="5"/>
  <c r="AH31" i="5"/>
  <c r="I31" i="5"/>
  <c r="AH30" i="5"/>
  <c r="I30" i="5"/>
  <c r="AH29" i="5"/>
  <c r="I29" i="5"/>
  <c r="AH28" i="5"/>
  <c r="I28" i="5"/>
  <c r="AH27" i="5"/>
  <c r="I26" i="5"/>
  <c r="I27" i="5"/>
  <c r="AH26" i="5"/>
  <c r="AH25" i="5"/>
  <c r="I25" i="5"/>
  <c r="AH24" i="5"/>
  <c r="I24" i="5"/>
  <c r="AH23" i="5"/>
  <c r="I23" i="5" l="1"/>
  <c r="G23" i="5"/>
  <c r="E23" i="5"/>
  <c r="AH22" i="5"/>
  <c r="I22" i="5"/>
  <c r="G22" i="5"/>
  <c r="E22" i="5"/>
  <c r="AH21" i="5"/>
  <c r="I21" i="5"/>
  <c r="G21" i="5"/>
  <c r="E21" i="5"/>
  <c r="AH20" i="5"/>
  <c r="I20" i="5"/>
  <c r="G20" i="5"/>
  <c r="E20" i="5"/>
  <c r="AH19" i="5"/>
  <c r="I19" i="5"/>
  <c r="G19" i="5"/>
  <c r="E19" i="5"/>
  <c r="I18" i="5"/>
  <c r="G18" i="5"/>
  <c r="E18" i="5"/>
  <c r="I17" i="5"/>
  <c r="G17" i="5"/>
  <c r="E17" i="5"/>
  <c r="I16" i="5"/>
  <c r="G16" i="5"/>
  <c r="E16" i="5"/>
  <c r="AH18" i="5"/>
  <c r="AH17" i="5"/>
  <c r="AH16" i="5"/>
  <c r="AH15" i="5"/>
  <c r="I15" i="5"/>
  <c r="G15" i="5"/>
  <c r="E15" i="5"/>
  <c r="AH14" i="5"/>
  <c r="I14" i="5"/>
  <c r="G14" i="5"/>
  <c r="E14" i="5"/>
  <c r="E13" i="5"/>
  <c r="E12" i="5"/>
  <c r="E11" i="5"/>
  <c r="AH13" i="5"/>
  <c r="I13" i="5"/>
  <c r="AH12" i="5"/>
  <c r="I12" i="5"/>
  <c r="AH11" i="5"/>
  <c r="AH10" i="5"/>
  <c r="I10" i="5"/>
  <c r="E10" i="5"/>
  <c r="AH9" i="5"/>
  <c r="I9" i="5"/>
  <c r="G9" i="5"/>
  <c r="E9" i="5"/>
  <c r="AH8" i="5"/>
  <c r="AH7" i="5"/>
  <c r="AH6" i="5"/>
  <c r="AH5" i="5"/>
  <c r="AH4" i="5"/>
  <c r="AH3" i="5"/>
  <c r="AH2" i="5"/>
  <c r="G2" i="5"/>
  <c r="I2" i="5"/>
  <c r="AH15" i="2" l="1"/>
  <c r="I15" i="2"/>
  <c r="AH14" i="2"/>
  <c r="I14" i="2"/>
  <c r="AH13" i="2"/>
  <c r="AH12" i="2"/>
  <c r="I13" i="2"/>
  <c r="I12" i="2"/>
  <c r="AH11" i="2"/>
  <c r="I11" i="2"/>
  <c r="AH10" i="2"/>
  <c r="I10" i="2"/>
  <c r="AH3" i="2"/>
  <c r="AH2" i="2"/>
  <c r="AH6" i="2"/>
  <c r="AH9" i="2"/>
  <c r="AH8" i="2"/>
  <c r="AH7" i="2"/>
  <c r="AH5" i="2"/>
  <c r="I9" i="2"/>
  <c r="G9" i="2"/>
  <c r="E9" i="2"/>
  <c r="I8" i="2"/>
  <c r="I7" i="2"/>
  <c r="I6" i="2"/>
  <c r="I5" i="2"/>
  <c r="AH4" i="2"/>
  <c r="I4" i="2"/>
  <c r="G4" i="2"/>
  <c r="E4" i="2"/>
  <c r="I3" i="2"/>
  <c r="G3" i="2"/>
  <c r="E3" i="2"/>
  <c r="AG2" i="2"/>
  <c r="I2" i="2"/>
  <c r="G2" i="2"/>
  <c r="E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Javier Sierra Dosa</author>
  </authors>
  <commentList>
    <comment ref="AU3" authorId="0" shapeId="0" xr:uid="{B1A34623-56E1-42E8-B966-E9ABBA55677B}">
      <text>
        <r>
          <rPr>
            <sz val="9"/>
            <color rgb="FF000000"/>
            <rFont val="Tahoma"/>
            <family val="2"/>
          </rPr>
          <t xml:space="preserve">
</t>
        </r>
        <r>
          <rPr>
            <sz val="9"/>
            <color rgb="FF000000"/>
            <rFont val="Tahoma"/>
            <family val="2"/>
          </rPr>
          <t>Siempre se diligencia con "Pendiente"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 Javier Sierra Dosa</author>
  </authors>
  <commentList>
    <comment ref="AU3" authorId="0" shapeId="0" xr:uid="{C52A0E7F-E199-E140-B037-BD957CD1E2FF}">
      <text>
        <r>
          <rPr>
            <sz val="9"/>
            <color rgb="FF000000"/>
            <rFont val="Tahoma"/>
            <family val="2"/>
          </rPr>
          <t xml:space="preserve">
</t>
        </r>
        <r>
          <rPr>
            <sz val="9"/>
            <color rgb="FF000000"/>
            <rFont val="Tahoma"/>
            <family val="2"/>
          </rPr>
          <t>Siempre se diligencia con "Pendiente"</t>
        </r>
      </text>
    </comment>
  </commentList>
</comments>
</file>

<file path=xl/sharedStrings.xml><?xml version="1.0" encoding="utf-8"?>
<sst xmlns="http://schemas.openxmlformats.org/spreadsheetml/2006/main" count="1862" uniqueCount="427">
  <si>
    <t>VersionTRD</t>
  </si>
  <si>
    <t>CodigoReferencia</t>
  </si>
  <si>
    <t>CodigoGeografico</t>
  </si>
  <si>
    <t>CodigoSerie</t>
  </si>
  <si>
    <t>Serie</t>
  </si>
  <si>
    <t>CodigoSubserie</t>
  </si>
  <si>
    <t>Subserie</t>
  </si>
  <si>
    <t>CodigoSerieSubserie</t>
  </si>
  <si>
    <t>Asunto</t>
  </si>
  <si>
    <t>EstadoExpediente</t>
  </si>
  <si>
    <t>FechaCierre</t>
  </si>
  <si>
    <t>EstadoFaseArchivo</t>
  </si>
  <si>
    <t>Volumen</t>
  </si>
  <si>
    <t>NoFolios</t>
  </si>
  <si>
    <t>NumeroDocumentos</t>
  </si>
  <si>
    <t>FechaInicial</t>
  </si>
  <si>
    <t>FechaFinal</t>
  </si>
  <si>
    <t>NumeroCajaCustodioASE</t>
  </si>
  <si>
    <t>NumeroCarpetaCustodioASE</t>
  </si>
  <si>
    <t>Deposito</t>
  </si>
  <si>
    <t>Area</t>
  </si>
  <si>
    <t>Piso</t>
  </si>
  <si>
    <t>TipoMobiliario</t>
  </si>
  <si>
    <t>Bloque</t>
  </si>
  <si>
    <t>Lado</t>
  </si>
  <si>
    <t>Estante</t>
  </si>
  <si>
    <t>Entrepaño</t>
  </si>
  <si>
    <t>NumeroCajaFisica</t>
  </si>
  <si>
    <t>NumeroCarpetaFisica</t>
  </si>
  <si>
    <t>UbicacionArchivoGestion</t>
  </si>
  <si>
    <t>UbicacionArchivoCentralASE</t>
  </si>
  <si>
    <t>UbicacionArchivoHistorico</t>
  </si>
  <si>
    <t>Unidadqueelaboró</t>
  </si>
  <si>
    <t>Contenido</t>
  </si>
  <si>
    <t>NumerodeOrden</t>
  </si>
  <si>
    <t>Fondo</t>
  </si>
  <si>
    <t>Subfondo</t>
  </si>
  <si>
    <t>Seccion</t>
  </si>
  <si>
    <t>Subseccion</t>
  </si>
  <si>
    <t>UnidadConservacionySoporte</t>
  </si>
  <si>
    <t>ArchivoaTransferir</t>
  </si>
  <si>
    <t>Observaciones</t>
  </si>
  <si>
    <t>AgrupacionDocumental</t>
  </si>
  <si>
    <t>Disposicion Final</t>
  </si>
  <si>
    <t>NumeroCajaCustodio</t>
  </si>
  <si>
    <t>NumeroCarpetaCustodio</t>
  </si>
  <si>
    <t>Estado</t>
  </si>
  <si>
    <t>Campo automático</t>
  </si>
  <si>
    <t>Campo que no se puede equivocar</t>
  </si>
  <si>
    <t>ABIERTO
CERRADO</t>
  </si>
  <si>
    <t>ARCHIVO GESTION
ARCHIVO CENTRAL
ARCHIVO SEGUNDA EDAD
ARCHIVO SEGUNDA EDAD EN AH
ARCHIVO HISTORICO</t>
  </si>
  <si>
    <t>PENDIENTE</t>
  </si>
  <si>
    <t>ARCHIVO GESTION
ARCHIVO CENTRAL
ARCHIVO ASE
ARCHIVO HISTORICO</t>
  </si>
  <si>
    <t>Cuando es TVD se debe dejar el campo vacio</t>
  </si>
  <si>
    <t>VRAC-FAC-AD-SFA</t>
  </si>
  <si>
    <t>BOG/CLO</t>
  </si>
  <si>
    <t>BOG</t>
  </si>
  <si>
    <t>Campo automático
Autocorrige</t>
  </si>
  <si>
    <t>ACTAS</t>
  </si>
  <si>
    <t>ACTAS DEL CONSEJO DE FACULTAD</t>
  </si>
  <si>
    <t>8.8</t>
  </si>
  <si>
    <t xml:space="preserve">Campo que no se puede equivocar
</t>
  </si>
  <si>
    <t>(El carácter especial que separa el código de serie del de subserie es el PUNTO)</t>
  </si>
  <si>
    <t>CONSEJO DE FACULTAD (ACTAS Y CITACIONES)</t>
  </si>
  <si>
    <t>CERRADO</t>
  </si>
  <si>
    <t>En AH es CERRADO</t>
  </si>
  <si>
    <t>Ingrese el año de la fecha final</t>
  </si>
  <si>
    <t>0000</t>
  </si>
  <si>
    <t>ARCHIVO HISTORICO</t>
  </si>
  <si>
    <t xml:space="preserve">No admite fechas con días mes o año en 00
</t>
  </si>
  <si>
    <t>DD/MM/AAAA</t>
  </si>
  <si>
    <t xml:space="preserve">Se debe registrar con el dia primero, y el mes primero del respectivo año. 
Y registrar en el campo observaciones la aproximación de la fecha. </t>
  </si>
  <si>
    <t xml:space="preserve">Se debe registrar con el dia útlimo del mes, y el último mes del respectivo año.
Y registrar en el campo observaciones la aproximación de la fecha. </t>
  </si>
  <si>
    <t xml:space="preserve">Si no aplica, dejar en blanco. </t>
  </si>
  <si>
    <t>Se asigna el número de volumen cuando exista más de una carpeta del expediente. 
El orden asignado del número de volumen será a partir de las fechas extremas de cada carpeta. Donde el primer volumen será el más antiguo.</t>
  </si>
  <si>
    <t>Aplica para TDS</t>
  </si>
  <si>
    <t>B17</t>
  </si>
  <si>
    <t>LA</t>
  </si>
  <si>
    <t>ES3</t>
  </si>
  <si>
    <t>EN5</t>
  </si>
  <si>
    <t>CJ55</t>
  </si>
  <si>
    <t>CP853</t>
  </si>
  <si>
    <t>DC</t>
  </si>
  <si>
    <t>Formato Fecha (personalizada)</t>
  </si>
  <si>
    <t>Formato General</t>
  </si>
  <si>
    <t>FACULTAD DE ARQUITECTURA Y DISEÑO</t>
  </si>
  <si>
    <t>CORREOS ELECTRONICOS, ACTA DE CONSEJO DE FACULTAD # 012-98, PROPUESTA DE GUIA METODOLOGICA PARA LA DISCUSION EN LOS CONSEJOS DE FACULTAD DEL DOCUMENTO "FORMACION INTEGRAL EN LA UNIVERSIDAD JAVERIANA", ACTA DE CONSEJO # 005-99, ACTA DE CONSEJO # 003-99,  ACTA DE CONSEJO # 001-99, PRESENTACION DE CIFRAS, NOMENCLATURA PARA LOS CAMPOS DE LAS CIENCIAS Y TECNOLOGIAS, FROMULARIO PARA EL REGISTRO DE PROYECTOS DE INVESTIGACION, GUIA PRELIMINAR DE PRESENTACION DE PROYECTOS, CONCEPTOS DE EVALUACION EXTERNA, CONVOCATORIA GENERAL, INTRODUCCION, ACTA DE CONSEJO # 005-98, ACTA DE CONSEJO # 004-98, ACTA DE CONSEJO # 001-98</t>
  </si>
  <si>
    <t>VICERRECTORIA ACADEMICA</t>
  </si>
  <si>
    <t>PONTIFICIA UNIVERSIDAD JAVERIANA</t>
  </si>
  <si>
    <t>SECRETARIA DE FACULTAD</t>
  </si>
  <si>
    <t>CARPETA</t>
  </si>
  <si>
    <t>Dejar en blanco</t>
  </si>
  <si>
    <t>B17-LA-ES3-EN5-CJ55-CP853</t>
  </si>
  <si>
    <t>VRAC-FAC-AD-PEI</t>
  </si>
  <si>
    <t>02/10/2013</t>
  </si>
  <si>
    <t>2013</t>
  </si>
  <si>
    <t>25/09/2013</t>
  </si>
  <si>
    <t>B16</t>
  </si>
  <si>
    <t>LB</t>
  </si>
  <si>
    <t>ES5</t>
  </si>
  <si>
    <t>EN7</t>
  </si>
  <si>
    <t>CJ66</t>
  </si>
  <si>
    <t>CP1150</t>
  </si>
  <si>
    <t>B16-LB-ES5-EN7-CJ66-CP1150</t>
  </si>
  <si>
    <t>Programa de Experiencias Internacionales PEI</t>
  </si>
  <si>
    <t>Vicerrectoría Académica</t>
  </si>
  <si>
    <t>FACULTAD DE ARQUITECFTURA Y DISEÑO</t>
  </si>
  <si>
    <t>PROGRAMA DE EXPERIENCIAS INTERNACIONALES PEI</t>
  </si>
  <si>
    <t>23/05/2013</t>
  </si>
  <si>
    <t>30/10/2013</t>
  </si>
  <si>
    <t>CP1151</t>
  </si>
  <si>
    <t>B16-LB-ES5-EN7-CJ66-CP1151</t>
  </si>
  <si>
    <t>30/01/2013</t>
  </si>
  <si>
    <t>15/11/2013</t>
  </si>
  <si>
    <t>CP1152</t>
  </si>
  <si>
    <t>B16-LB-ES5-EN7-CJ66-CP1152</t>
  </si>
  <si>
    <t>CURSOS PREUNIVERSITARIOS E INTERSEMESTRALES</t>
  </si>
  <si>
    <t>CURSOS INTERSEMESTRALES</t>
  </si>
  <si>
    <t>2015</t>
  </si>
  <si>
    <t>26/09/2014</t>
  </si>
  <si>
    <t>27/01/2015</t>
  </si>
  <si>
    <t>B16-LB-ES5-EN7-CJ66-CP1153A</t>
  </si>
  <si>
    <t>SIN NORMALIZAR</t>
  </si>
  <si>
    <t>2014</t>
  </si>
  <si>
    <t>22/04/2014</t>
  </si>
  <si>
    <t>01/08/2014</t>
  </si>
  <si>
    <t>B16-LB-ES5-EN7-CJ66-CP1154</t>
  </si>
  <si>
    <t>CP1154</t>
  </si>
  <si>
    <t>21/07/2014</t>
  </si>
  <si>
    <t>B16-LB-ES5-EN7-CJ66-CP1155</t>
  </si>
  <si>
    <t>CP1155</t>
  </si>
  <si>
    <t>EVENTOS</t>
  </si>
  <si>
    <t>EVENTOS INSTITUCIONALES</t>
  </si>
  <si>
    <t>21/01/2014</t>
  </si>
  <si>
    <t>24/08/2014</t>
  </si>
  <si>
    <t>B16-LB-ES5-EN7-CJ66-CP1156</t>
  </si>
  <si>
    <t>CP1156</t>
  </si>
  <si>
    <t>04/08/2014</t>
  </si>
  <si>
    <t>24/10/2014</t>
  </si>
  <si>
    <t>B16-LB-ES5-EN7-CJ66-CP1157</t>
  </si>
  <si>
    <t>CP1157</t>
  </si>
  <si>
    <t>CP1153A</t>
  </si>
  <si>
    <t>PROYECTOS</t>
  </si>
  <si>
    <t>PROYECTOS DE INVESTIGACION EXTERNOS</t>
  </si>
  <si>
    <t>01/02/2015</t>
  </si>
  <si>
    <t>20/12/2015</t>
  </si>
  <si>
    <t>B16-LB-ES5-EN7-CJ66-CP1158</t>
  </si>
  <si>
    <t>CP1158</t>
  </si>
  <si>
    <t>B16-LB-ES5-EN7-CJ67-CP1159</t>
  </si>
  <si>
    <t>CP1159</t>
  </si>
  <si>
    <t>CJ67</t>
  </si>
  <si>
    <t>B16-LB-ES5-EN7-CJ67-CP1160</t>
  </si>
  <si>
    <t>CP1160</t>
  </si>
  <si>
    <t>01/03/2015</t>
  </si>
  <si>
    <t>21/07/2015</t>
  </si>
  <si>
    <t>B16-LB-ES5-EN7-CJ67-CP1161</t>
  </si>
  <si>
    <t>CP1161</t>
  </si>
  <si>
    <t>10/03/2015</t>
  </si>
  <si>
    <t>31/07/2015</t>
  </si>
  <si>
    <t>B16-LB-ES5-EN7-CJ67-CP1162</t>
  </si>
  <si>
    <t>CP1162</t>
  </si>
  <si>
    <t>21/01/2015</t>
  </si>
  <si>
    <t>15/12/2015</t>
  </si>
  <si>
    <t>B16-LB-ES5-EN7-CJ67-CP1163</t>
  </si>
  <si>
    <t>CP1163</t>
  </si>
  <si>
    <t>VRAC-FAC-AD-DF</t>
  </si>
  <si>
    <t>21/01/2013</t>
  </si>
  <si>
    <t>01/04/2014</t>
  </si>
  <si>
    <t>B17-LA-ES3-EN7-CJ62-CP1120</t>
  </si>
  <si>
    <t>CJ62</t>
  </si>
  <si>
    <t>CP1120</t>
  </si>
  <si>
    <t>DECANATURA DE LA FACULTAD</t>
  </si>
  <si>
    <t>DECANATURA DE FACULTAD</t>
  </si>
  <si>
    <t>ACTAS DEL COMITE DE INVESTIGACIONES</t>
  </si>
  <si>
    <t>COMITE DE INVESTIGACION Y ETICA</t>
  </si>
  <si>
    <t>19/03/2014</t>
  </si>
  <si>
    <t>29/07/2014</t>
  </si>
  <si>
    <t>B17-LA-ES3-EN7-CJ62-CP1121</t>
  </si>
  <si>
    <t>CP1121</t>
  </si>
  <si>
    <t>28/04/2014</t>
  </si>
  <si>
    <t>B17-LA-ES3-EN7-CJ62-CP1122</t>
  </si>
  <si>
    <t>CP1122</t>
  </si>
  <si>
    <t>26/08/2014</t>
  </si>
  <si>
    <t>31/10/2014</t>
  </si>
  <si>
    <t>B17-LA-ES3-EN7-CJ62-CP1123</t>
  </si>
  <si>
    <t>CP1123</t>
  </si>
  <si>
    <t>10/12/2014</t>
  </si>
  <si>
    <t>16/12/2015</t>
  </si>
  <si>
    <t>B17-LA-ES3-EN7-CJ62-CP1124</t>
  </si>
  <si>
    <t>CP1124</t>
  </si>
  <si>
    <t>10/09/2014</t>
  </si>
  <si>
    <t>05/05/2015</t>
  </si>
  <si>
    <t>B17-LA-ES3-EN7-CJ62-CP1125</t>
  </si>
  <si>
    <t>CP1125</t>
  </si>
  <si>
    <t>09/10/2013</t>
  </si>
  <si>
    <t>28/07/2015</t>
  </si>
  <si>
    <t>B17-LA-ES3-EN7-CJ62-CP1126</t>
  </si>
  <si>
    <t>CP1126</t>
  </si>
  <si>
    <t>19/02/2013</t>
  </si>
  <si>
    <t>30/01/2015</t>
  </si>
  <si>
    <t>B17-LA-ES3-EN7-CJ62-CP1127</t>
  </si>
  <si>
    <t>CP1127</t>
  </si>
  <si>
    <t>2016</t>
  </si>
  <si>
    <t>21/04/2014</t>
  </si>
  <si>
    <t>18/10/2016</t>
  </si>
  <si>
    <t>B16-LB-ES5-EN6-CJ63-CP1128</t>
  </si>
  <si>
    <t>CP1128</t>
  </si>
  <si>
    <t>EN6</t>
  </si>
  <si>
    <t>CJ63</t>
  </si>
  <si>
    <t>28/08/2013</t>
  </si>
  <si>
    <t>21/08/2014</t>
  </si>
  <si>
    <t>B16-LB-ES5-EN6-CJ63-CP1129</t>
  </si>
  <si>
    <t>CP1129</t>
  </si>
  <si>
    <t>COORDINACION EGRESADOS ARQUIDISEÑO</t>
  </si>
  <si>
    <t>28/02/2014</t>
  </si>
  <si>
    <t>12/11/2015</t>
  </si>
  <si>
    <t>B16-LB-ES5-EN6-CJ63-CP1130</t>
  </si>
  <si>
    <t>CP1130</t>
  </si>
  <si>
    <t>12/03/2013</t>
  </si>
  <si>
    <t>16/12/2013</t>
  </si>
  <si>
    <t>B16-LB-ES5-EN6-CJ63-CP1131</t>
  </si>
  <si>
    <t>CP1131</t>
  </si>
  <si>
    <t>10/12/2012</t>
  </si>
  <si>
    <t>01/10/2016</t>
  </si>
  <si>
    <t>B16-LB-ES5-EN6-CJ63-CP1132</t>
  </si>
  <si>
    <t>CP1132</t>
  </si>
  <si>
    <t>14/01/2013</t>
  </si>
  <si>
    <t>26/07/2013</t>
  </si>
  <si>
    <t>B16-LB-ES5-EN6-CJ63-CP1133</t>
  </si>
  <si>
    <t>CP1133</t>
  </si>
  <si>
    <t>30/07/2013</t>
  </si>
  <si>
    <t>02/07/2014</t>
  </si>
  <si>
    <t>B16-LB-ES5-EN6-CJ63-CP1134</t>
  </si>
  <si>
    <t>CP1134</t>
  </si>
  <si>
    <t>12/08/2014</t>
  </si>
  <si>
    <t>22/07/2015</t>
  </si>
  <si>
    <t>B16-LB-ES5-EN6-CJ64-CP1135</t>
  </si>
  <si>
    <t>CP1135</t>
  </si>
  <si>
    <t>CJ64</t>
  </si>
  <si>
    <t>25/08/2015</t>
  </si>
  <si>
    <t>15/09/2016</t>
  </si>
  <si>
    <t>B16-LB-ES5-EN6-CJ64-CP1136</t>
  </si>
  <si>
    <t>CP1136</t>
  </si>
  <si>
    <t>07/12/2012</t>
  </si>
  <si>
    <t>23/06/2015</t>
  </si>
  <si>
    <t>B16-LB-ES5-EN6-CJ64-CP1137</t>
  </si>
  <si>
    <t>CP1137</t>
  </si>
  <si>
    <t>03/07/2015</t>
  </si>
  <si>
    <t>15/12/2016</t>
  </si>
  <si>
    <t>B16-LB-ES5-EN6-CJ64-CP1138</t>
  </si>
  <si>
    <t>CP1138</t>
  </si>
  <si>
    <t>02/03/2010</t>
  </si>
  <si>
    <t>09/06/2016</t>
  </si>
  <si>
    <t>B16-LB-ES5-EN6-CJ64-CP1139</t>
  </si>
  <si>
    <t>CP1139</t>
  </si>
  <si>
    <t>16/01/2013</t>
  </si>
  <si>
    <t>09/12/2016</t>
  </si>
  <si>
    <t>B16-LB-ES5-EN6-CJ64-CP1140</t>
  </si>
  <si>
    <t>CP1140</t>
  </si>
  <si>
    <t>31/01/2013</t>
  </si>
  <si>
    <t>13/06/2016</t>
  </si>
  <si>
    <t>B16-LB-ES5-EN6-CJ64-CP1141</t>
  </si>
  <si>
    <t>CP1141</t>
  </si>
  <si>
    <t>22/01/2013</t>
  </si>
  <si>
    <t>07/09/2016</t>
  </si>
  <si>
    <t>B16-LB-ES5-EN6-CJ64-CP1142</t>
  </si>
  <si>
    <t>CP1142</t>
  </si>
  <si>
    <t>25/01/2013</t>
  </si>
  <si>
    <t>15/10/2013</t>
  </si>
  <si>
    <t>B16-LB-ES5-EN6-CJ64-CP1143</t>
  </si>
  <si>
    <t>CP1143</t>
  </si>
  <si>
    <t>13/01/2016</t>
  </si>
  <si>
    <t>B16-LB-ES5-EN6-CJ65-CP1144</t>
  </si>
  <si>
    <t>CP1144</t>
  </si>
  <si>
    <t>CJ65</t>
  </si>
  <si>
    <t>06/02/2013</t>
  </si>
  <si>
    <t>29/11/2013</t>
  </si>
  <si>
    <t>B16-LB-ES5-EN6-CJ65-CP1145</t>
  </si>
  <si>
    <t>CP1145</t>
  </si>
  <si>
    <t>15/01/2013</t>
  </si>
  <si>
    <t>02/11/2016</t>
  </si>
  <si>
    <t>B16-LB-ES5-EN6-CJ65-CP1146</t>
  </si>
  <si>
    <t>CP1146</t>
  </si>
  <si>
    <t>03/12/2012</t>
  </si>
  <si>
    <t>26/10/2016</t>
  </si>
  <si>
    <t>B16-LB-ES5-EN6-CJ65-CP1147</t>
  </si>
  <si>
    <t>CP1147</t>
  </si>
  <si>
    <t>14/02/2013</t>
  </si>
  <si>
    <t>26/01/2016</t>
  </si>
  <si>
    <t>B16-LB-ES5-EN6-CJ65-CP1148</t>
  </si>
  <si>
    <t>CP1148</t>
  </si>
  <si>
    <t>08/11/2010</t>
  </si>
  <si>
    <t>10/10/2013</t>
  </si>
  <si>
    <t>B16-LB-ES5-EN6-CJ65-CP1149</t>
  </si>
  <si>
    <t>CP1149</t>
  </si>
  <si>
    <t>VRAC-FAC-AD-DAC</t>
  </si>
  <si>
    <t xml:space="preserve">CONDECORACIONES Y DISTINCIONES </t>
  </si>
  <si>
    <t>COMUNICACIONES</t>
  </si>
  <si>
    <t>2019</t>
  </si>
  <si>
    <t>temporales : datos pendientes para el cargue</t>
  </si>
  <si>
    <t>identificar el depo. Donde actuslmente está ubicado y el tipo de mobiliario</t>
  </si>
  <si>
    <t>04/10/2012</t>
  </si>
  <si>
    <t>03/07/2019</t>
  </si>
  <si>
    <t>B16-LB-ES5-EN7-CJ67-CP1164</t>
  </si>
  <si>
    <t>CP1164</t>
  </si>
  <si>
    <t>DECANATURA</t>
  </si>
  <si>
    <t>CORRESPONDENCIA</t>
  </si>
  <si>
    <t>CORRESPONDENCIA INTERNA Y EXTERNA</t>
  </si>
  <si>
    <t>15/01/2016</t>
  </si>
  <si>
    <t>07/11/2019</t>
  </si>
  <si>
    <t>B16-LB-ES5-EN7-CJ67-CP1165</t>
  </si>
  <si>
    <t>CP1165</t>
  </si>
  <si>
    <t>COMUNICACIONES, UN SOBRE CON CD</t>
  </si>
  <si>
    <t>EL FOLIO 80 INCLUYE UN CD</t>
  </si>
  <si>
    <t>CORRESPONDENCIA INTERNA</t>
  </si>
  <si>
    <t>2018</t>
  </si>
  <si>
    <t>27/01/2017</t>
  </si>
  <si>
    <t>11/10/2018</t>
  </si>
  <si>
    <t>B16-LB-ES5-EN7-CJ67-CP1166</t>
  </si>
  <si>
    <t>CP1166</t>
  </si>
  <si>
    <t>05/06/2018</t>
  </si>
  <si>
    <t>01/11/2019</t>
  </si>
  <si>
    <t>B16-LB-ES5-EN7-CJ67-CP1167</t>
  </si>
  <si>
    <t>CP1167</t>
  </si>
  <si>
    <t>VRA-FAC-AD-DEP-DDI</t>
  </si>
  <si>
    <t>ACTAS DE COMITE DEPARTAMENTO</t>
  </si>
  <si>
    <t>ACTAS DE COMITE DEPARTAMENTO AÑO 2012</t>
  </si>
  <si>
    <t>2012</t>
  </si>
  <si>
    <t>20/01/2012</t>
  </si>
  <si>
    <t>29/10/2012</t>
  </si>
  <si>
    <t>B16-LB-ES5-EN7-CJ68-CP1178</t>
  </si>
  <si>
    <t>CP1178</t>
  </si>
  <si>
    <t>CJ68</t>
  </si>
  <si>
    <t xml:space="preserve">ACTA N 115 COMITE DEPARTAMENTO 
ACTA N 116 COMITE DEPARTAMENTO COMUNICACIONES CORREOS FORMULARIO CALIFICACION Y EVALUACION FORMATO INTERNO PARA FORMULACION DE PROYECTOS 
ACTA N 117 COMITE DEPARTAMENTO CORREOS PROPUESTA PROYECTO COMUNICACIONES PLAN DE TRABAJO FORMULARIO CALIFICACION Y EVALUACION POLITICAS Y LINEAS DE INVESTIGACION FORMATO INTERNO PARA FORMULACION DE PROYECTOS 
ACTA N 118 COMITE DEPARTAMENTO CORREOS COMUNICACIONES FORMATO PRESENTACION DE PROYECTO 
ACTA N 119 COMITE DEPARTAMENTO CORREOS FORMULARIO DE CALIFICACION Y EVALUACION IDENTIFICACION DEL PROYECTO FORMATO DE PRESUPUESTO 
ACTA N 120 COMITE DEPARTAMENTO CORREOS FORMULARIO DE CALIFICACION Y EVALUACION IDENTIFICACION DEL PROYECTO PRESUPUESTO PROPUESTA PROYECTO COMUNICACIONES FORMATO PRESENTACION DE PROYECTO PROPUESTA Y ACLARACIONES </t>
  </si>
  <si>
    <t>DEPARTARMENTO DE DISEÑO</t>
  </si>
  <si>
    <t>ACTAS DE COMITE DEPARTAMENTO AÑO 2013</t>
  </si>
  <si>
    <t>01/11/2013</t>
  </si>
  <si>
    <t>B16-LB-ES5-EN7-CJ68-CP1179</t>
  </si>
  <si>
    <t>CP1179</t>
  </si>
  <si>
    <t xml:space="preserve">ACTA N 121 COMITE DEPARTAMENTO Y CIRCULAR
ACTA N 122 COMITE DEPARTAMENTO 
ACTA N 123 COMITE DEPARTAMENTO CORREOS ELECTRONICOS INFORME EVALUACION DE PROYECTO FORMTO PRESENTACION DE PROYECTO COMUNICACIONES PROPUESTA PRESUPUESTAL 
ACTA N 124 COMITE DEPARTAMENTO PROPUESTA PROYECTO CORREOS FORMULARIO CALIFICACION Y EVALUACION CONVOCATORIA INTERNA 
ACTA N 125 COMITE DEPARTAMENTO CORREOS FORMULARIO CALIFICACION EVALUACION PROPUESTA PROYECTO 
ACTA N 126 COMITE DEPARTAMENTO CORREOS FORMULARIO CALIFICACION EVALUACION IDENTIFICACION DEL PROYECTO </t>
  </si>
  <si>
    <t>ACTAS DE COMITE DEPARTAMENTO AÑO 2014</t>
  </si>
  <si>
    <t>06/08/2014</t>
  </si>
  <si>
    <t>26/11/2014</t>
  </si>
  <si>
    <t>B16-LB-ES5-EN7-CJ68-CP1180</t>
  </si>
  <si>
    <t>CP1180</t>
  </si>
  <si>
    <t>ACTA 0127 
ACTA 0128 
ACTA 0129
ACTA 0130
ACTA 0131</t>
  </si>
  <si>
    <t>ACTAS DE COMITE DEPARTAMENTO AÑO 2015</t>
  </si>
  <si>
    <t>23/01/2015</t>
  </si>
  <si>
    <t>11/12/2015</t>
  </si>
  <si>
    <t>B16-LB-ES5-EN7-CJ68-CP1182</t>
  </si>
  <si>
    <t>CP1182</t>
  </si>
  <si>
    <t>ACTA 0132
ACTA 0133
ACTA 0134
ACTA 0135
ACTA 0136
ACTA 0137 
ACTA 0138
ACTA 0139
ACTA 0140
ACTA 0141
ACTA 0142</t>
  </si>
  <si>
    <t>ACTAS DE COMITE DEPARTAMENTO AÑO 2016</t>
  </si>
  <si>
    <t>30/11/2016</t>
  </si>
  <si>
    <t>B16-LB-ES5-EN7-CJ68-CP1181</t>
  </si>
  <si>
    <t>CP1181</t>
  </si>
  <si>
    <t>ACTA DE REUNION NUMERO 143
ACTA DE REUNION NUMERO 144
ACTA DE REUNION NUMERO 145
ACTA DE REUNION NUMERO 146
ACTA DE REUNION NUMERO 147
ACTA DE REUNION NUMERO 148
ACTA DE REUNION NUMERO 149</t>
  </si>
  <si>
    <t>ACTAS DE COMITE DEPARTAMENTO AÑO 2017</t>
  </si>
  <si>
    <t>2017</t>
  </si>
  <si>
    <t>18/01/2017</t>
  </si>
  <si>
    <t>05/12/2017</t>
  </si>
  <si>
    <t>B16-LB-ES5-EN7-CJ68-CP1183</t>
  </si>
  <si>
    <t>CP1183</t>
  </si>
  <si>
    <t>ACTA DE REUNION NUMERO 163
ACTA DE REUNION NUMERO 164
ACTA DE REUNION NUMERO 165
ACTA DE REUNION NUMERO 166
ACTA DE REUNION NUMERO 167
ACTA DE REUNION NUMERO 168
ACTA DE REUNION NUMERO 169
ACTA DE REUNION NUMERO 170
ACTA DE REUNION NUMERO 171
ACTA DE REUNION NUMERO 172
ACTA DE REUNION NUMERO 173
ACTA DE REUNION NUMERO 174</t>
  </si>
  <si>
    <t>ACTAS DE COMITE DEPARTAMENTO AÑO 2018</t>
  </si>
  <si>
    <t>/05/2018</t>
  </si>
  <si>
    <t>07/12/2018</t>
  </si>
  <si>
    <t>LA CARPETA NO INGRESO EN LA TRANSFERENCIA DOCUMENTAL</t>
  </si>
  <si>
    <t>VRAC-FAC-AD-PRE-CAR</t>
  </si>
  <si>
    <t>ACREDITACIÓN</t>
  </si>
  <si>
    <t>02/02/2004</t>
  </si>
  <si>
    <t>09/08/2004</t>
  </si>
  <si>
    <t>B21-LA-ES3-EN4-CJ69-CP1184</t>
  </si>
  <si>
    <t>CP1184</t>
  </si>
  <si>
    <t>CJ69</t>
  </si>
  <si>
    <t>EN4</t>
  </si>
  <si>
    <t>B21</t>
  </si>
  <si>
    <t>CARRERA DE ARQUITECTURA</t>
  </si>
  <si>
    <t>2005</t>
  </si>
  <si>
    <t>01/04/2004</t>
  </si>
  <si>
    <t>27/05/2005</t>
  </si>
  <si>
    <t>B21-LA-ES3-EN4-CJ69-CP1185</t>
  </si>
  <si>
    <t>CP1185</t>
  </si>
  <si>
    <t>01/09/2004</t>
  </si>
  <si>
    <t>16/08/2005</t>
  </si>
  <si>
    <t>B21-LA-ES3-EN4-CJ69-CP1186</t>
  </si>
  <si>
    <t>CP1186</t>
  </si>
  <si>
    <t>12/01/2005</t>
  </si>
  <si>
    <t>08/03/2006</t>
  </si>
  <si>
    <t>B21-LA-ES3-EN4-CJ69-CP1187</t>
  </si>
  <si>
    <t>CP1187</t>
  </si>
  <si>
    <t>B21-LA-ES3-EN4-CJ69-CP1188</t>
  </si>
  <si>
    <t>CP1188</t>
  </si>
  <si>
    <t>08/02/2006</t>
  </si>
  <si>
    <t>01/10/2007</t>
  </si>
  <si>
    <t>B21-LA-ES3-EN4-CJ69-CP1189</t>
  </si>
  <si>
    <t>CP1189</t>
  </si>
  <si>
    <t>08/08/2006</t>
  </si>
  <si>
    <t>03/10/2009</t>
  </si>
  <si>
    <t>B21-LA-ES3-EN4-CJ69-CP1190</t>
  </si>
  <si>
    <t>CP1190</t>
  </si>
  <si>
    <t>13/09/2004</t>
  </si>
  <si>
    <t>14/04/2009</t>
  </si>
  <si>
    <t>B21-LA-ES3-EN4-CJ69-CP1191</t>
  </si>
  <si>
    <t>CP1191</t>
  </si>
  <si>
    <t>19/03/2008</t>
  </si>
  <si>
    <t>15/08/2009</t>
  </si>
  <si>
    <t>B21-LA-ES3-EN4-CJ69-CP1192</t>
  </si>
  <si>
    <t>CP1192</t>
  </si>
  <si>
    <t>01/08/2011</t>
  </si>
  <si>
    <t>31/12/2012</t>
  </si>
  <si>
    <t>B21-LA-ES3-EN4-CJ69-CP1193</t>
  </si>
  <si>
    <t>CP1193</t>
  </si>
  <si>
    <t>25/06/2013</t>
  </si>
  <si>
    <t>17/02/2011</t>
  </si>
  <si>
    <t>B21-LA-ES3-EN4-CJ69-CP1194</t>
  </si>
  <si>
    <t>CP1194</t>
  </si>
  <si>
    <t>12/08/2013</t>
  </si>
  <si>
    <t>B21-LA-ES3-EN5-CJ70-CP1195</t>
  </si>
  <si>
    <t>CP1195</t>
  </si>
  <si>
    <t>CJ70</t>
  </si>
  <si>
    <t>B21-LA-ES3-EN5-CJ70-CP1196</t>
  </si>
  <si>
    <t>CP1196</t>
  </si>
  <si>
    <t>08/02/2016</t>
  </si>
  <si>
    <t>10/10/2016</t>
  </si>
  <si>
    <t>B21-LA-ES3-EN5-CJ70-CP1197</t>
  </si>
  <si>
    <t>CP1197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</si>
</sst>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8"/>
      <color theme="1"/>
      <name val="Calibri"/>
      <family val="2"/>
      <scheme val="minor"/>
    </font>
    <font>
      <sz val="10"/>
      <name val="Arial"/>
      <family val="2"/>
    </font>
    <font>
      <b/>
      <sz val="8"/>
      <color rgb="FFFF0000"/>
      <name val="Calibri"/>
      <family val="2"/>
      <scheme val="minor"/>
    </font>
    <font>
      <sz val="10"/>
      <color theme="1"/>
      <name val="Calibri"/>
      <family val="2"/>
      <scheme val="minor"/>
    </font>
    <font>
      <sz val="9"/>
      <color rgb="FF000000"/>
      <name val="Tahoma"/>
      <family val="2"/>
    </font>
  </fonts>
  <fills count="6">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rgb="FF00B0F0"/>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46">
    <xf numFmtId="0" fontId="0" fillId="0" borderId="0" xfId="0"/>
    <xf numFmtId="0" fontId="0" fillId="0" borderId="0" xfId="0" applyAlignment="1">
      <alignment wrapText="1"/>
    </xf>
    <xf numFmtId="0" fontId="0" fillId="0" borderId="1" xfId="0" applyBorder="1" applyAlignment="1" applyProtection="1">
      <alignment horizontal="center" vertical="center" wrapText="1"/>
      <protection locked="0"/>
    </xf>
    <xf numFmtId="0" fontId="4" fillId="0" borderId="0" xfId="0" applyFont="1" applyAlignment="1">
      <alignment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1" xfId="0" applyFont="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protection locked="0"/>
    </xf>
    <xf numFmtId="49" fontId="4" fillId="0" borderId="0" xfId="0" applyNumberFormat="1" applyFont="1" applyAlignment="1">
      <alignment wrapText="1"/>
    </xf>
    <xf numFmtId="0" fontId="4" fillId="0" borderId="0" xfId="0" applyFont="1" applyAlignment="1">
      <alignment vertical="center" wrapText="1"/>
    </xf>
    <xf numFmtId="0" fontId="0" fillId="0" borderId="1" xfId="0" applyFill="1" applyBorder="1" applyAlignment="1">
      <alignment wrapText="1"/>
    </xf>
    <xf numFmtId="0" fontId="0" fillId="0" borderId="1" xfId="0" applyBorder="1" applyAlignment="1">
      <alignment wrapText="1"/>
    </xf>
    <xf numFmtId="164" fontId="0" fillId="0" borderId="1" xfId="0" applyNumberFormat="1" applyBorder="1" applyAlignment="1">
      <alignment wrapText="1"/>
    </xf>
    <xf numFmtId="49" fontId="1" fillId="2" borderId="1" xfId="0" applyNumberFormat="1" applyFont="1" applyFill="1" applyBorder="1" applyAlignment="1">
      <alignment vertical="center" wrapText="1"/>
    </xf>
    <xf numFmtId="0" fontId="0" fillId="0" borderId="0" xfId="0" applyAlignment="1">
      <alignment vertical="center" wrapText="1"/>
    </xf>
    <xf numFmtId="0" fontId="1" fillId="3" borderId="1" xfId="0" applyFont="1" applyFill="1" applyBorder="1" applyAlignment="1">
      <alignment vertical="center" wrapText="1"/>
    </xf>
    <xf numFmtId="0" fontId="3" fillId="0" borderId="1" xfId="0" applyFont="1" applyBorder="1" applyAlignment="1">
      <alignment vertical="center" wrapText="1"/>
    </xf>
    <xf numFmtId="0" fontId="1" fillId="2" borderId="1" xfId="0" applyFont="1" applyFill="1" applyBorder="1" applyAlignment="1">
      <alignment vertical="center" wrapText="1"/>
    </xf>
    <xf numFmtId="0" fontId="4" fillId="0" borderId="1" xfId="0" applyFont="1" applyBorder="1" applyAlignment="1" applyProtection="1">
      <alignment vertical="center" wrapText="1"/>
      <protection locked="0"/>
    </xf>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4" fillId="0" borderId="1" xfId="0" applyFont="1" applyFill="1" applyBorder="1" applyAlignment="1" applyProtection="1">
      <alignment vertical="center" wrapText="1"/>
      <protection locked="0"/>
    </xf>
    <xf numFmtId="0" fontId="0" fillId="0" borderId="0" xfId="0" applyBorder="1" applyAlignment="1">
      <alignment vertical="center" wrapText="1"/>
    </xf>
    <xf numFmtId="49" fontId="0" fillId="0" borderId="0" xfId="0" applyNumberFormat="1" applyBorder="1" applyAlignment="1">
      <alignment vertical="center" wrapText="1"/>
    </xf>
    <xf numFmtId="0" fontId="4" fillId="0" borderId="2" xfId="0" applyFont="1" applyBorder="1" applyAlignment="1">
      <alignment vertical="center" wrapText="1"/>
    </xf>
    <xf numFmtId="0" fontId="1" fillId="4" borderId="1" xfId="0" applyFont="1" applyFill="1" applyBorder="1" applyAlignment="1">
      <alignment vertical="center" wrapText="1"/>
    </xf>
    <xf numFmtId="0" fontId="0" fillId="4" borderId="0" xfId="0" applyFill="1" applyBorder="1" applyAlignment="1">
      <alignment vertical="center" wrapText="1"/>
    </xf>
    <xf numFmtId="0" fontId="1" fillId="5" borderId="1" xfId="0" applyFont="1" applyFill="1" applyBorder="1" applyAlignment="1">
      <alignment vertical="center" wrapText="1"/>
    </xf>
    <xf numFmtId="0" fontId="0" fillId="5" borderId="0" xfId="0" applyFill="1" applyBorder="1" applyAlignment="1">
      <alignment vertical="center" wrapText="1"/>
    </xf>
    <xf numFmtId="0" fontId="4" fillId="0" borderId="0" xfId="0" applyFont="1" applyBorder="1" applyAlignment="1">
      <alignment vertical="center" wrapText="1"/>
    </xf>
    <xf numFmtId="0" fontId="4" fillId="0" borderId="1" xfId="0" applyFont="1" applyFill="1" applyBorder="1" applyAlignment="1">
      <alignment vertical="center" wrapText="1"/>
    </xf>
    <xf numFmtId="49" fontId="4" fillId="0" borderId="0" xfId="0" applyNumberFormat="1" applyFont="1" applyBorder="1" applyAlignment="1">
      <alignment vertical="center" wrapText="1"/>
    </xf>
    <xf numFmtId="0" fontId="4" fillId="4" borderId="0" xfId="0" applyFont="1" applyFill="1" applyBorder="1" applyAlignment="1">
      <alignment vertical="center" wrapText="1"/>
    </xf>
    <xf numFmtId="0" fontId="4" fillId="3" borderId="1" xfId="0" applyFont="1" applyFill="1" applyBorder="1" applyAlignment="1">
      <alignment vertical="center" wrapText="1"/>
    </xf>
    <xf numFmtId="0" fontId="4" fillId="5" borderId="0" xfId="0" applyFont="1" applyFill="1" applyBorder="1" applyAlignment="1">
      <alignment vertical="center" wrapText="1"/>
    </xf>
    <xf numFmtId="0" fontId="4" fillId="0" borderId="0" xfId="0" applyFont="1" applyFill="1" applyAlignment="1">
      <alignment horizontal="center" vertical="center" wrapText="1"/>
    </xf>
    <xf numFmtId="49" fontId="4" fillId="0" borderId="0" xfId="0" applyNumberFormat="1" applyFont="1" applyFill="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0" xfId="0"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cellXfs>
  <cellStyles count="3">
    <cellStyle name="Normal" xfId="0" builtinId="0"/>
    <cellStyle name="Normal 2" xfId="1" xr:uid="{05AE5F29-808C-4056-AF8F-065B3FB6DA6A}"/>
    <cellStyle name="Normal 4" xfId="2" xr:uid="{63AEEC65-6A36-493D-BFF7-7FFCBA60DC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quidisen&#771;o/AD/MAESTRO_TDP_VRAC_FAC_AD_DF_201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quidisen&#771;o/AD/MAESTRO_TDP_VRAC_FAC_AD_PEI_201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quidisen&#771;o/AD/MAESTRO_TDP_VRAC_FAC_AD_PRE_CAR_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ERENCIA DOCUMENTAL"/>
    </sheetNames>
    <sheetDataSet>
      <sheetData sheetId="0">
        <row r="15">
          <cell r="C15" t="str">
            <v>Actas del ComitE de Investigaciones</v>
          </cell>
          <cell r="D15" t="str">
            <v>ComitE de InvestigaciOn y Etica</v>
          </cell>
          <cell r="E15" t="str">
            <v xml:space="preserve">Actas, comunicados, propuestas de investigaciOn: AplicaciOn web de autodiagnOstico en gestiOn de diseño y desarrollo de productos: CreaciOn e innovaciOn como proceso evolutivo abierto en los mundos virtuales; Nueva polItica de investigaciOn en la Universidad; Ensayos en mesa vibratoria de capillas doctrineras; Hasta el cuello; AnAlisis de las memoras descriptivas, entre otros  </v>
          </cell>
        </row>
        <row r="16">
          <cell r="E16" t="str">
            <v>Actas, comunicados, propuestas de investigaciOn: Diseño de un servicio de cuidado de la salud amigable con los niños del servicio de pediatrIa HUSI; Espacios plegados: exploraciOn teOrica y morfolOgica; Estudio comparativo entre los macroproyectos formulados en colombia con los new town;Taller de cartografIa social del patrimonio</v>
          </cell>
        </row>
        <row r="17">
          <cell r="E17" t="str">
            <v>Actas, comunicados, propuestas de investigaciOn: AproximaciOn comprensiva a la contrucciOn territorial de Agua de Dios; ValoraciOn patrimonial del FC de La Dorada, desde la transformaciOn del territorio en el trAnsito entre el bajo y el alto Magdalena</v>
          </cell>
        </row>
        <row r="18">
          <cell r="E18" t="str">
            <v>Actas, comunicados, propuestas de investigaciOn: El perfIl Etico del docente y del profesional diseñador industrial javeriano; CON-TRASTE-SONORO el diseño de artefactos sonoros urbanos; La ciudad como cantera urbana, una demoliciOn constructiva, anAlisis y manipulaciOn; DefiniciOn de parAmetros formales de asiento y del espaldar de sillas escolares</v>
          </cell>
        </row>
        <row r="19">
          <cell r="E19" t="str">
            <v>Actas, comunicados, propuestas de investigaciOn: Arquitectura de los colegios de la compañIa de Jesus en Colombia; FormulaciOn de indicadores para Campus Sustentables en el contexto de AUSJAL; informe proyecto Hacia un modelo de Ordenamiento Local del Territorio; Estudio comparativo entre Macro proyectos urbanos; AnAlisis de las memorias descriptivas y planimetrIas del proyecto arquitectOnico en las Bienales; Justicia espacial urbana, conceptos y mEtodos de mediciOn</v>
          </cell>
        </row>
        <row r="20">
          <cell r="E20" t="str">
            <v xml:space="preserve">Actas, comunicados, propuestas de investigaciOn: La idea de materialidad en la creaciOn del objeto arquitectOnico, un anAlisis de la creaciOn formal; Estudio explorativo de las prActicas Pre-profesionales de la carrera de diseño industrial; Centro histOrico y territorio, ecosistema cultural momposino; Estado del arte en la investigaciOn proyectual en diseño; Emprendimiento en el diseñador industrial en Colombia; AnAlisis de las memorias descriptivas y planimetrIas del proyecto arquitectOnico en las Bienales; DecisiOn comitE asesor de investigaciOn frente al proyecto El perfil Etico del docente y profesional diseñador industrial javeriano en Colombia; carta nombramiento y agradecimiento asesores externos; El papel de la tecnologIa como respuesta al grado de insostenibilidad ambiental  </v>
          </cell>
        </row>
        <row r="21">
          <cell r="E21" t="str">
            <v>Actas, comunicados, propuestas de investigaciOn: 10*10 heterotIpias de lo pUblico; CAVERNA Arquitectura vernAcula colombiana; Condiciones para la implementaciOn de huertas vitales mOviles en asentamientos informales; EvaluaciOn de la sostenibilidad ambiental en diferentes regiones del paIs; BogotA interacciones urbanas y movilidad</v>
          </cell>
        </row>
        <row r="22">
          <cell r="B22" t="str">
            <v>Informes</v>
          </cell>
          <cell r="C22" t="str">
            <v>Informes de Directivos</v>
          </cell>
          <cell r="D22" t="str">
            <v>Informes de GestiOn</v>
          </cell>
          <cell r="E22" t="str">
            <v>Informe de GestiOn 2015, Informe ejecutivo de gestiOn 2007-2013; cartas, solicitudes, entre otros</v>
          </cell>
        </row>
        <row r="23">
          <cell r="B23" t="str">
            <v>Redes de CooperaciOn</v>
          </cell>
          <cell r="D23" t="str">
            <v>CoordinaciOn egresados arquidiseño</v>
          </cell>
          <cell r="E23" t="str">
            <v xml:space="preserve">Cartas invitaciOn conversatorios, documentos definiciOn red de egresados, informes comitE de egresados, propuesta planteamiento organizacional relaciones con egresados, Informe I Encuentro de Egresados, correos, comunicados, entre otros. </v>
          </cell>
        </row>
        <row r="24">
          <cell r="E24" t="str">
            <v>Cartas, correos electrOnicos, invitaciOn conversatorios, invitaciones e informes I Encuentro de Egreados, presupuestos, entre otros</v>
          </cell>
        </row>
        <row r="25">
          <cell r="D25" t="str">
            <v>Convenios interinstitucionales, Acuerdos de cooperación Arquidiseño</v>
          </cell>
          <cell r="E25" t="str">
            <v>Cartas, correos, documentos terminaciOn convenio con el Consejo Colombiano de construcciOn Sostenible, cartas convenio con el Instituto Distrital de Turismo, documentos convenios (Universita di Bologna, VAS Colombia, ICEX España, Universidad de Reading), modelos convenios, entre otros</v>
          </cell>
        </row>
        <row r="26">
          <cell r="D26" t="str">
            <v>Convenios interinstitucionales, Acuerdos de cooperación Arquidiseño</v>
          </cell>
          <cell r="E26" t="str">
            <v>Cartas, correos, documentos convenios (ICEX España, Universidad de AlcaláA UAECD, Red de investigaciAn en arquitectura-Andes, Tadeo, Nacional, SCA y la PUJ; ONU Habitat, FundaciOn Rogeio Salmona), modelos convenios, memorandos de entendimiento, Informe ejecuciOn presupuestal convenio 157 de 2010 entre IDPC Y PUJ, entre otros</v>
          </cell>
        </row>
        <row r="27">
          <cell r="B27" t="str">
            <v>Correspondencia</v>
          </cell>
          <cell r="C27" t="str">
            <v>Consecutivo Cartas</v>
          </cell>
          <cell r="D27" t="str">
            <v>Correspondencia Programa Internacional PEI</v>
          </cell>
          <cell r="E27" t="str">
            <v>Informe PEI 2016-2 Venecia, Barcelona y Madrid, cartas de presentaciOn estudiantes PEI embajada, cartas, correos relacionados con los cursos intersemestrales, cartas cumplimiento requisitos cursos pei, documento Solar Dechathlon 2015, autorizaciOn pei 2014 por parte de la VicerrectorIa AcadEmica, cronogramas, presupuestos, informes, entre otros</v>
          </cell>
        </row>
        <row r="28">
          <cell r="D28" t="str">
            <v>Correspondencia Departamentos Facultad</v>
          </cell>
          <cell r="E28" t="str">
            <v>Cartas, correos, informe viajes, actas de evaluaciOn de desempeño, solicitudes conversiOn de vacantes, solicitudes contrataciOn temporales, informes proceso para ocupar vacantes, solicitudes de autorizaciOn pago de horas cAtedra, cartas de idoneidad, resultados excelencia docente, entre otros</v>
          </cell>
        </row>
        <row r="29">
          <cell r="E29" t="str">
            <v>Cartas, correos, actas de evaluaciOn de desempeño, solicitud apoyo economico cursos intersemestrales, informes, solicitudes conversiOn de vacantes, reativaciOn de vacantes, actas comite departamento estEtica,  solicitudes contrataciOn temporales, informes proceso para ocupar vacantes, solicitudes de autorizaciOn pago de horas cAtedra, entre otros</v>
          </cell>
        </row>
        <row r="30">
          <cell r="E30" t="str">
            <v>Cartas, correos, solicitudes conversiOn de vacantes, solicitudes contrataciOn temporales, listados profesores excelencia doCentes, solicitud apoyo curso intersemestral depARTAMENTO arquitectura, autorizaciOn para consultorIa subcentro de seguridad,  solicitudes de autorizaciOn pago de horas cAtedra, entre otros.</v>
          </cell>
        </row>
        <row r="31">
          <cell r="E31" t="str">
            <v>Cartas, correos, solicitudes de autorizaciOn pago de horas cAtedra, solicitud y autorizaciOn prOrroga o reactivaciOn de vacantes, solicitud suscripciOn bases de datos MRS, solicitud conversiOn de vacantes, informe contrataciOn extemporAnea de profesores hora cAtedra, entre otros</v>
          </cell>
        </row>
        <row r="32">
          <cell r="D32" t="str">
            <v>DirecciOn de GestiOn Humana</v>
          </cell>
          <cell r="E32" t="str">
            <v>DefiniciOn vigencia de contratos a termino fijo y temporales, ratificaciOn vencimiento contratos, remisión listados firmados prima extralegal especial personal planta, listados de vacaciones, planes de mejoramiento personal administrativo, terminaciOn contratos, curso inmersiOn personal administrativo, entre otros</v>
          </cell>
        </row>
        <row r="33">
          <cell r="E33" t="str">
            <v>DefiniciOn vigencia de contratos a termino fijo y temporales, ratificaciOn vencimiento contratos, remisiOn listados firmados prima extralegal especial personal planta, listados de vacaciones, terminación contratos, respuesta apoyo estudios de maestrIa personal administrativo, llamados de atenciOn, solicitud para aprobar cargo temporal auxiliar taller de diseño, planes de mejoramiento personal administrativo, solicitud de permisos, licencias personal administrativo, entre otros</v>
          </cell>
        </row>
        <row r="34">
          <cell r="D34" t="str">
            <v>Correspondencia RectorIa</v>
          </cell>
          <cell r="E34" t="str">
            <v>cartas, correos, cartas jornada de reflexiOn universitaria, invitaciones, solicitudes de consultorias externas remitidas por el rector, cartas reconocimientos pruebas saber pro, correos reforma estatutos, consultar para sugerir decano encargado, carta agradecimiento decano del medio univERSITARIO, presentaciOn proyectos convocatoria proyectos de presupuesto social San Francisco, cartas de agradecimiento, reforma estatutuaria 2013, queja estudiantes  sobre infraestructura y tecnología facultad, reactivaciOn vacante de diseño, entre otros</v>
          </cell>
        </row>
        <row r="35">
          <cell r="D35" t="str">
            <v>Correspondencia VicerrectorIa AcadEmica</v>
          </cell>
          <cell r="E35" t="str">
            <v>Cartas nombramiento directivos, invitaciones desde y hacIa, presentaciOn candidatos cargos directivos, aprobaciOn plazas vacantes para cargos directivos, informe viajes, solicitud autorizaciOn curso internacional Experimental Housing Worshop Bog-NY, remisiOn documento reformulaciOn Maestría en Diseño, cartas de presentaciOn convocatoria propuesta de nuevos programas acadEmicos, Diseño InteracciOn, resoluciOn 11074 registro calificado carrera de arquitectura por 7 años, solicitud parametrizaciOn de asignaturas Diseño Industrial, solicitud conversiOn vacantes, autorización levantamiento prerequisitos Arquitectura, supresión Maestría en Patrimonio Cultural, documento creación posgrado Maestría en Diseño, Resolución renovación acreditación Arquitectura, entre otros</v>
          </cell>
        </row>
        <row r="36">
          <cell r="D36" t="str">
            <v>Correspondencia VicerrectorIa de InvestigaciOn</v>
          </cell>
          <cell r="E36" t="str">
            <v>Documentos creaciOn semilleros de investigaciOn, cartas de aval participaciOn profesores en proyectos de otras facultades, prOrrogas para terminaciOn de proyectos, revisión documento política de investigación, innovación y creación artística Universidad, cartas, invitaciones, entre otros.</v>
          </cell>
        </row>
        <row r="37">
          <cell r="D37" t="str">
            <v>Correspondencia Vicerrectoría de Extensión y Relaciones Interinstitucionales</v>
          </cell>
          <cell r="E37" t="str">
            <v>Comunicados elección miembros al Consejo, cartas estudiantes que realizan prácticas internacionales, boletines VERI, correos, aval diplamados, estudiantes para participar en convenio de doble titulación con el Politecnico de Torino, adiciones presupuestal, invitaciones, presentacion estudiantes cursos intersmestral para visado Schengen, entre otros.</v>
          </cell>
        </row>
        <row r="38">
          <cell r="D38" t="str">
            <v>Programas de Pregrado</v>
          </cell>
          <cell r="E38" t="str">
            <v>Cartas de solicitud de traslado entre programas, reporte posible plagio en el curso Investigación de Pruebas de Producto, Carolina Daza, entrega documentos para la acreditación de la Carrea de Arquitectura ante el CNA, entre otros.</v>
          </cell>
        </row>
        <row r="39">
          <cell r="E39" t="str">
            <v>Documentos concurso Otto de Greiff, informe de admisiones, resevas de cupo, documento guía para el desarro de las practicas preprofesionales, propuesta creación pregrado en diseño de comunicación visual, evaluación proyectos para mención de honor, levantamiento de prerequisito de idioma, retiro asociación Red Academica de Diseño, designación Cielo Quiñones para convocatoria elección Programas de diseño del país, entre otros.</v>
          </cell>
        </row>
        <row r="40">
          <cell r="D40" t="str">
            <v>Publicaciones Facultad</v>
          </cell>
          <cell r="E40" t="str">
            <v>Cartas de entrega y recpeción de publicaciones, invitaciones, correos electrónicos, entre otros</v>
          </cell>
        </row>
        <row r="41">
          <cell r="D41" t="str">
            <v>Correspondencia interna otras dependencias de la Universidad</v>
          </cell>
          <cell r="E41" t="str">
            <v xml:space="preserve">Cartas, correos electrónicos, solicitudes varias, invitaciones, presentación de informes, informes de obras Oficina de Construcciones, informe ejecución presupuestal biblioteca, entre otros. </v>
          </cell>
        </row>
        <row r="42">
          <cell r="D42" t="str">
            <v>Decanatura y Secretaría de Facultad</v>
          </cell>
          <cell r="E42" t="str">
            <v xml:space="preserve">Cartas, correos, solicitud servicios de remodelación, procesos de evaluación directivos, entrega cargo Decano Académico, documentos proyecto Capilla HUSI,. Cartas nombramientos miembros del consejo, comunicados a la planta, carta convocatoria elección miembros del consejo, solicitudes personal administrativo, permisos, entre otros. </v>
          </cell>
        </row>
        <row r="43">
          <cell r="D43" t="str">
            <v>Institutos Facultad</v>
          </cell>
          <cell r="E43" t="str">
            <v>Cartas, correos electrónicos, propuesta continuidad INJAVIU, observaciones documento re organización de los institutos y centros de investigación, cartas de interes proyectos, invitaciones participación en proyectos, entre otros.</v>
          </cell>
        </row>
        <row r="44">
          <cell r="D44" t="str">
            <v>Programa de Educación Continúa</v>
          </cell>
          <cell r="E44" t="str">
            <v xml:space="preserve">Propuesta de cursos, diplomados, programación educación continúa, correos electrónicos, memorandos, entre otros.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ERENCIA DOCUMENTAL"/>
    </sheetNames>
    <sheetDataSet>
      <sheetData sheetId="0">
        <row r="16">
          <cell r="B16" t="str">
            <v>Cursos Preuniversitarios e Intersemestrales</v>
          </cell>
          <cell r="C16" t="str">
            <v>Cursos Intersemestrales</v>
          </cell>
          <cell r="D16" t="str">
            <v>Curso intersemestral PEI Argentina 2013</v>
          </cell>
          <cell r="E16" t="str">
            <v>Propuesta programa academico y comunicaciones</v>
          </cell>
        </row>
        <row r="17">
          <cell r="E17" t="str">
            <v>Programa academico, lista de participantes y comunicaciones</v>
          </cell>
        </row>
        <row r="18">
          <cell r="B18" t="str">
            <v>Eventos</v>
          </cell>
          <cell r="C18" t="str">
            <v>Eventos Institucionales</v>
          </cell>
          <cell r="D18" t="str">
            <v>Clase Proyecto Nuevos Territorios y Workshops 2013</v>
          </cell>
          <cell r="E18" t="str">
            <v>Programa, lista de participantes, lista de clase, actividades</v>
          </cell>
        </row>
        <row r="19">
          <cell r="D19" t="str">
            <v>Curso intersemestral PEI Argentina 2014</v>
          </cell>
          <cell r="E19" t="str">
            <v>Programa academico, lista de participantes, informe y  comunicaciones</v>
          </cell>
        </row>
        <row r="20">
          <cell r="D20" t="str">
            <v>Curso intersemestral PEI Rhode Island 2014</v>
          </cell>
          <cell r="E20" t="str">
            <v xml:space="preserve">Programa academico, lista de participantes, informe y  comunicaciones. </v>
          </cell>
        </row>
        <row r="21">
          <cell r="D21" t="str">
            <v>Curso intersemestral PEI España 2014</v>
          </cell>
          <cell r="E21" t="str">
            <v xml:space="preserve">Programa academico, lista de participantes, informe y  comunicaciones. </v>
          </cell>
        </row>
        <row r="22">
          <cell r="D22" t="str">
            <v>Clase Proyecto Nuevos Territorios y Workshops 2014</v>
          </cell>
          <cell r="E22" t="str">
            <v>Programa, lista de participantes, lista de clase, actividades</v>
          </cell>
        </row>
        <row r="23">
          <cell r="B23" t="str">
            <v>Proyectos</v>
          </cell>
          <cell r="C23" t="str">
            <v>Proyectos de investigacion Externos</v>
          </cell>
          <cell r="D23" t="str">
            <v xml:space="preserve">Concurso Internacional Solar Decathlon SDLAC 2014/2015 </v>
          </cell>
          <cell r="E23" t="str">
            <v>Propuestas, avances, formato de registro, creacion de codigos, convenios, polizas, comunicaciones,  y participantes</v>
          </cell>
        </row>
        <row r="24">
          <cell r="D24" t="str">
            <v>Concurso Internacional Solar Decathlon SDLAC 2014/2015 (1/3)</v>
          </cell>
          <cell r="E24" t="str">
            <v>Propuestas, avances, formato de registro, creacion de codigos, convenios, polizas, comunicaciones,  y participantes</v>
          </cell>
        </row>
        <row r="25">
          <cell r="D25" t="str">
            <v>Concurso Internacional Solar Decathlon SDLAC 2014/2015 (2/3)</v>
          </cell>
          <cell r="E25" t="str">
            <v>Propuestas, avances, formato de registro, creacion de codigos, convenios, polizas, comunicaciones,  y participantes</v>
          </cell>
        </row>
        <row r="26">
          <cell r="D26" t="str">
            <v>Concurso Internacional Solar Decathlon SDLAC 2014/2015 (3/3)</v>
          </cell>
          <cell r="E26" t="str">
            <v>Propuestas, avances, formato de registro, creacion de codigos, convenios, polizas, comunicaciones,  y participantes</v>
          </cell>
        </row>
        <row r="27">
          <cell r="D27" t="str">
            <v>Curso intersemestral PEI España 2015</v>
          </cell>
          <cell r="E27" t="str">
            <v>Programa academico, lista de participantes y comunicaciones.</v>
          </cell>
        </row>
        <row r="28">
          <cell r="D28" t="str">
            <v>Curso intersemestral ETSAB Summer School Piso Piloto 2015</v>
          </cell>
          <cell r="E28" t="str">
            <v>Programa acadEmico, lista de participantes y comunicaciones.</v>
          </cell>
        </row>
        <row r="29">
          <cell r="D29" t="str">
            <v>Clase Proyecto Nuevos Territorios y Workshops 2015</v>
          </cell>
          <cell r="E29" t="str">
            <v>Programa, lista de participantes, lista de clase, actividades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erencia Documental"/>
    </sheetNames>
    <sheetDataSet>
      <sheetData sheetId="0">
        <row r="15">
          <cell r="C15" t="str">
            <v>AcreditaciOn de Programas Academicos</v>
          </cell>
          <cell r="D15" t="str">
            <v>AcreditaciOn Internacional ante el Acreditacion Internacional Royal Institute of British Architects – RIBA</v>
          </cell>
          <cell r="E15" t="str">
            <v>Comunicados oficiales, documento para la acreditaciOn, syllabus del programa</v>
          </cell>
        </row>
        <row r="16">
          <cell r="D16" t="str">
            <v>Acreditacion Internacional ante el Acreditacion Internacional Royal Institute of British Architects – RIBA</v>
          </cell>
          <cell r="E16" t="str">
            <v>Comunicados oficiales, documento para la acreditaciOn, syllabus del programa, Correos electronicos</v>
          </cell>
        </row>
        <row r="17">
          <cell r="D17" t="str">
            <v>AcreditaciON Internacional ante el Acreditacion Internacional Royal Institute of British Architects – RIBA</v>
          </cell>
          <cell r="E17" t="str">
            <v>Comunicados oficiales, documento para la acreditaciOn, syllabus del programa, Correos electronicos</v>
          </cell>
        </row>
        <row r="18">
          <cell r="D18" t="str">
            <v>AcreditaciOn Internacional ante el Acreditacion Internacional Royal Institute of British Architects – RIBA (1/2)</v>
          </cell>
          <cell r="E18" t="str">
            <v>Comunicados oficiales, documento para la acreditaciOn, syllabus del programa, Correos electronicos</v>
          </cell>
          <cell r="S18" t="str">
            <v>carpeta 1 de 2</v>
          </cell>
        </row>
        <row r="19">
          <cell r="D19" t="str">
            <v>AcreditaciOn Internacional ante el Acreditacion Internacional Royal Institute of British Architects – RIBA (2/2)</v>
          </cell>
          <cell r="E19" t="str">
            <v xml:space="preserve">ContinuaciOn  documento para la acreditaciOn, syllabus del programa </v>
          </cell>
          <cell r="S19" t="str">
            <v>carpeta 2/2</v>
          </cell>
        </row>
        <row r="20">
          <cell r="D20" t="str">
            <v>AcreditaciOn Internacional ante el Acreditacion Internacional Royal Institute of British Architects – RIBA (1/2)</v>
          </cell>
          <cell r="E20" t="str">
            <v>Comunicados oficiales, documento para la acreditaciOn, syllabus del programa, Correos electronicos</v>
          </cell>
          <cell r="S20" t="str">
            <v>carpeta 1 de 2</v>
          </cell>
        </row>
        <row r="21">
          <cell r="D21" t="str">
            <v>AcreditaciOn Internacional ante el Acreditacion Internacional Royal Institute of British Architects – RIBA (2/2)</v>
          </cell>
          <cell r="E21" t="str">
            <v>Cartas, resoluciOn, contenido de la acreditaciOn, recomendaciones</v>
          </cell>
          <cell r="S21" t="str">
            <v>Folio 116 Incluye 2 CDS e invitaciones</v>
          </cell>
        </row>
        <row r="22">
          <cell r="D22" t="str">
            <v xml:space="preserve">Acreditación Nacional  Voluntaria ante el Consejo Nacional de Acreditación </v>
          </cell>
          <cell r="E22" t="str">
            <v>Cartas, contenido de la acreditaciOn, recomendaciones, documentos maestRos de la acreditacion Voluntaria, SYllabus</v>
          </cell>
        </row>
        <row r="23">
          <cell r="D23" t="str">
            <v>AcreditaciOn Internacional ante el Acreditacion Internacional Royal Institute of British Architects – RIBA</v>
          </cell>
          <cell r="E23" t="str">
            <v>Comunicados oficiales, notas, carats y memorandos</v>
          </cell>
          <cell r="S23" t="str">
            <v>folio 37 un anillado</v>
          </cell>
        </row>
        <row r="24">
          <cell r="D24" t="str">
            <v xml:space="preserve">AcreditaciOn Nacional  Voluntaria ante el Consejo Nacional de AcreditaciOn </v>
          </cell>
          <cell r="E24" t="str">
            <v>Documento maestro para la acreditaciOn voluntaria, curriculo vigente de 2008 a 2012</v>
          </cell>
        </row>
        <row r="25">
          <cell r="D25" t="str">
            <v>AcreditaciOn Internacional ante el Acreditacion Internacional Royal Institute of British Architects – RIBA</v>
          </cell>
          <cell r="E25" t="str">
            <v>Comunicados oficiales, documento para la acreditaciOn, syllabus del programa, Correos electronicos, recomendaciones</v>
          </cell>
        </row>
        <row r="26">
          <cell r="D26" t="str">
            <v>AcreditaciOn Nacional  Voluntaria ante el Consejo Nacional de AcreditaciOn</v>
          </cell>
          <cell r="E26" t="str">
            <v>Cartas, contenido de la acreditaciOn , recomendaciones, documentos maestos de la acreditacion Voluntaria</v>
          </cell>
          <cell r="S26" t="str">
            <v xml:space="preserve">en el folio 69 hay 4 anillados de los documentos maestros para la acreditaciOn voluntaria </v>
          </cell>
        </row>
        <row r="27">
          <cell r="D27" t="str">
            <v>AcreditaciOn Nacional  Voluntaria ante el Consejo Nacional de AcreditaciOn</v>
          </cell>
          <cell r="E27" t="str">
            <v>acta de aprobacion y resolucion de aprobaciOn de la acreditaciOn, documento maestro</v>
          </cell>
          <cell r="S27" t="str">
            <v>Folio 4 anillado con documento maestro</v>
          </cell>
        </row>
        <row r="28">
          <cell r="D28" t="str">
            <v>AcreditaciOn Internacional ante el Acreditacion Internacional Royal Institute of British Architects – RIBA</v>
          </cell>
          <cell r="E28" t="str">
            <v>Comunicados oficiales, documentos, contratos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4"/>
  <sheetViews>
    <sheetView topLeftCell="AI1" zoomScale="150" zoomScaleNormal="130" workbookViewId="0">
      <pane ySplit="1" topLeftCell="A6" activePane="bottomLeft" state="frozen"/>
      <selection pane="bottomLeft" activeCell="AJ6" sqref="AJ6"/>
    </sheetView>
  </sheetViews>
  <sheetFormatPr baseColWidth="10" defaultColWidth="9.1640625" defaultRowHeight="15" x14ac:dyDescent="0.2"/>
  <cols>
    <col min="1" max="3" width="9.1640625" style="1"/>
    <col min="4" max="4" width="17.33203125" style="1" customWidth="1"/>
    <col min="5" max="6" width="16.1640625" style="1" customWidth="1"/>
    <col min="7" max="7" width="11.5" style="1" customWidth="1"/>
    <col min="8" max="8" width="16.1640625" style="1" customWidth="1"/>
    <col min="9" max="9" width="9.1640625" style="1"/>
    <col min="10" max="10" width="16.1640625" style="1" customWidth="1"/>
    <col min="11" max="11" width="10.1640625" style="1" bestFit="1" customWidth="1"/>
    <col min="12" max="12" width="20.83203125" style="1" customWidth="1"/>
    <col min="13" max="13" width="16" style="1" customWidth="1"/>
    <col min="14" max="15" width="9.1640625" style="1"/>
    <col min="16" max="16" width="15.1640625" style="1" customWidth="1"/>
    <col min="17" max="17" width="16.33203125" style="1" customWidth="1"/>
    <col min="18" max="19" width="11.1640625" style="1" bestFit="1" customWidth="1"/>
    <col min="20" max="27" width="9.1640625" style="1"/>
    <col min="28" max="28" width="14.5" style="1" bestFit="1" customWidth="1"/>
    <col min="29" max="29" width="11.1640625" style="1" bestFit="1" customWidth="1"/>
    <col min="30" max="31" width="9.1640625" style="1"/>
    <col min="32" max="32" width="20.5" style="1" bestFit="1" customWidth="1"/>
    <col min="33" max="33" width="15.1640625" style="1" bestFit="1" customWidth="1"/>
    <col min="34" max="34" width="28.33203125" style="1" customWidth="1"/>
    <col min="35" max="40" width="15.1640625" style="1" customWidth="1"/>
    <col min="41" max="41" width="21.5" style="1" customWidth="1"/>
    <col min="42" max="46" width="15.1640625" style="1" customWidth="1"/>
    <col min="47" max="47" width="20.5" style="1" customWidth="1"/>
    <col min="48" max="16384" width="9.1640625" style="1"/>
  </cols>
  <sheetData>
    <row r="1" spans="1:47" ht="24" x14ac:dyDescent="0.2">
      <c r="A1" s="25" t="s">
        <v>0</v>
      </c>
      <c r="B1" s="15" t="s">
        <v>1</v>
      </c>
      <c r="C1" s="15" t="s">
        <v>2</v>
      </c>
      <c r="D1" s="25" t="s">
        <v>3</v>
      </c>
      <c r="E1" s="15" t="s">
        <v>4</v>
      </c>
      <c r="F1" s="25" t="s">
        <v>5</v>
      </c>
      <c r="G1" s="15" t="s">
        <v>6</v>
      </c>
      <c r="H1" s="25" t="s">
        <v>7</v>
      </c>
      <c r="I1" s="15" t="s">
        <v>8</v>
      </c>
      <c r="J1" s="15" t="s">
        <v>9</v>
      </c>
      <c r="K1" s="13" t="s">
        <v>10</v>
      </c>
      <c r="L1" s="15" t="s">
        <v>11</v>
      </c>
      <c r="M1" s="16" t="s">
        <v>12</v>
      </c>
      <c r="N1" s="17" t="s">
        <v>13</v>
      </c>
      <c r="O1" s="17" t="s">
        <v>14</v>
      </c>
      <c r="P1" s="13" t="s">
        <v>15</v>
      </c>
      <c r="Q1" s="13" t="s">
        <v>16</v>
      </c>
      <c r="R1" s="17" t="s">
        <v>17</v>
      </c>
      <c r="S1" s="17" t="s">
        <v>18</v>
      </c>
      <c r="T1" s="27" t="s">
        <v>19</v>
      </c>
      <c r="U1" s="27" t="s">
        <v>20</v>
      </c>
      <c r="V1" s="27" t="s">
        <v>21</v>
      </c>
      <c r="W1" s="2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row>
    <row r="2" spans="1:47" s="3" customFormat="1" ht="92.25" customHeight="1" x14ac:dyDescent="0.2">
      <c r="E2" s="3" t="s">
        <v>57</v>
      </c>
      <c r="G2" s="3" t="s">
        <v>57</v>
      </c>
      <c r="H2" s="3" t="s">
        <v>61</v>
      </c>
      <c r="J2" s="3" t="s">
        <v>48</v>
      </c>
      <c r="K2" s="3" t="s">
        <v>66</v>
      </c>
      <c r="L2" s="3" t="s">
        <v>48</v>
      </c>
      <c r="M2" s="3" t="s">
        <v>73</v>
      </c>
      <c r="P2" s="4" t="s">
        <v>69</v>
      </c>
      <c r="Q2" s="4" t="s">
        <v>69</v>
      </c>
      <c r="R2" s="3" t="s">
        <v>75</v>
      </c>
      <c r="S2" s="3" t="s">
        <v>75</v>
      </c>
      <c r="AJ2" s="3" t="s">
        <v>48</v>
      </c>
      <c r="AK2" s="3" t="s">
        <v>48</v>
      </c>
      <c r="AL2" s="3" t="s">
        <v>48</v>
      </c>
      <c r="AM2" s="3" t="s">
        <v>48</v>
      </c>
      <c r="AO2" s="3" t="s">
        <v>48</v>
      </c>
      <c r="AR2" s="3" t="s">
        <v>47</v>
      </c>
      <c r="AU2" s="3" t="s">
        <v>48</v>
      </c>
    </row>
    <row r="3" spans="1:47" s="3" customFormat="1" ht="180" x14ac:dyDescent="0.2">
      <c r="A3" s="4" t="s">
        <v>53</v>
      </c>
      <c r="C3" s="3" t="s">
        <v>55</v>
      </c>
      <c r="H3" s="3" t="s">
        <v>62</v>
      </c>
      <c r="J3" s="4" t="s">
        <v>49</v>
      </c>
      <c r="K3" s="8" t="s">
        <v>67</v>
      </c>
      <c r="L3" s="5" t="s">
        <v>52</v>
      </c>
      <c r="M3" s="3" t="s">
        <v>74</v>
      </c>
      <c r="P3" s="9" t="s">
        <v>70</v>
      </c>
      <c r="Q3" s="9" t="s">
        <v>70</v>
      </c>
      <c r="AO3" s="5" t="s">
        <v>50</v>
      </c>
      <c r="AU3" s="4" t="s">
        <v>51</v>
      </c>
    </row>
    <row r="4" spans="1:47" ht="176" x14ac:dyDescent="0.2">
      <c r="J4" s="1" t="s">
        <v>65</v>
      </c>
      <c r="P4" s="1" t="s">
        <v>71</v>
      </c>
      <c r="Q4" s="1" t="s">
        <v>72</v>
      </c>
    </row>
    <row r="5" spans="1:47" ht="32" x14ac:dyDescent="0.2">
      <c r="N5" s="1" t="s">
        <v>84</v>
      </c>
      <c r="O5" s="1" t="s">
        <v>84</v>
      </c>
      <c r="P5" s="1" t="s">
        <v>83</v>
      </c>
      <c r="Q5" s="1" t="s">
        <v>83</v>
      </c>
      <c r="AO5" s="1" t="s">
        <v>91</v>
      </c>
    </row>
    <row r="6" spans="1:47" ht="365" x14ac:dyDescent="0.2">
      <c r="A6" s="10"/>
      <c r="B6" s="2" t="s">
        <v>54</v>
      </c>
      <c r="C6" s="11" t="s">
        <v>56</v>
      </c>
      <c r="D6" s="11">
        <v>8</v>
      </c>
      <c r="E6" s="11" t="s">
        <v>58</v>
      </c>
      <c r="F6" s="11">
        <v>8</v>
      </c>
      <c r="G6" s="11" t="s">
        <v>59</v>
      </c>
      <c r="H6" s="11" t="s">
        <v>60</v>
      </c>
      <c r="I6" s="11" t="s">
        <v>63</v>
      </c>
      <c r="J6" s="11" t="s">
        <v>64</v>
      </c>
      <c r="K6" s="11">
        <v>2004</v>
      </c>
      <c r="L6" s="11" t="s">
        <v>68</v>
      </c>
      <c r="M6" s="11"/>
      <c r="N6" s="11"/>
      <c r="O6" s="11"/>
      <c r="P6" s="12">
        <v>35796</v>
      </c>
      <c r="Q6" s="12">
        <v>38352</v>
      </c>
      <c r="R6" s="11"/>
      <c r="S6" s="11"/>
      <c r="T6" s="11" t="s">
        <v>82</v>
      </c>
      <c r="U6" s="11"/>
      <c r="V6" s="11"/>
      <c r="W6" s="11"/>
      <c r="X6" s="6" t="s">
        <v>76</v>
      </c>
      <c r="Y6" s="6" t="s">
        <v>77</v>
      </c>
      <c r="Z6" s="6" t="s">
        <v>78</v>
      </c>
      <c r="AA6" s="6" t="s">
        <v>79</v>
      </c>
      <c r="AB6" s="6" t="s">
        <v>80</v>
      </c>
      <c r="AC6" s="6" t="s">
        <v>81</v>
      </c>
      <c r="AD6" s="11"/>
      <c r="AE6" s="11"/>
      <c r="AF6" s="7" t="s">
        <v>92</v>
      </c>
      <c r="AG6" s="11" t="s">
        <v>85</v>
      </c>
      <c r="AH6" s="11" t="s">
        <v>86</v>
      </c>
      <c r="AI6" s="11">
        <v>1</v>
      </c>
      <c r="AJ6" s="11" t="s">
        <v>88</v>
      </c>
      <c r="AK6" s="11" t="s">
        <v>87</v>
      </c>
      <c r="AL6" s="11" t="s">
        <v>85</v>
      </c>
      <c r="AM6" s="11" t="s">
        <v>89</v>
      </c>
      <c r="AN6" s="11" t="s">
        <v>90</v>
      </c>
      <c r="AO6" s="11"/>
      <c r="AP6" s="11"/>
      <c r="AQ6" s="11"/>
      <c r="AR6" s="11"/>
      <c r="AS6" s="11"/>
      <c r="AT6" s="11"/>
      <c r="AU6" s="11" t="s">
        <v>51</v>
      </c>
    </row>
    <row r="11" spans="1:47" ht="64" x14ac:dyDescent="0.2">
      <c r="A11" s="1" t="s">
        <v>105</v>
      </c>
      <c r="D11" s="26" t="s">
        <v>299</v>
      </c>
      <c r="AF11" s="1" t="s">
        <v>104</v>
      </c>
    </row>
    <row r="12" spans="1:47" ht="64" x14ac:dyDescent="0.2">
      <c r="D12" s="28" t="s">
        <v>300</v>
      </c>
    </row>
    <row r="13" spans="1:47" ht="32" x14ac:dyDescent="0.2">
      <c r="A13" s="1" t="s">
        <v>51</v>
      </c>
    </row>
    <row r="14" spans="1:47" ht="48" x14ac:dyDescent="0.2">
      <c r="A14" s="1" t="s">
        <v>122</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1D3A-72AF-8F4E-AB5F-0876966F9C34}">
  <dimension ref="A1:AU37"/>
  <sheetViews>
    <sheetView zoomScale="119" zoomScaleNormal="130" workbookViewId="0">
      <pane ySplit="1" topLeftCell="A2" activePane="bottomLeft" state="frozen"/>
      <selection activeCell="F1" sqref="F1"/>
      <selection pane="bottomLeft" activeCell="G28" sqref="G28"/>
    </sheetView>
  </sheetViews>
  <sheetFormatPr baseColWidth="10" defaultColWidth="9.1640625" defaultRowHeight="15" x14ac:dyDescent="0.2"/>
  <cols>
    <col min="1" max="1" width="21.1640625" style="22" bestFit="1" customWidth="1"/>
    <col min="2" max="3" width="9" style="22" bestFit="1" customWidth="1"/>
    <col min="4" max="4" width="7.33203125" style="22" bestFit="1" customWidth="1"/>
    <col min="5" max="5" width="21.6640625" style="22" bestFit="1" customWidth="1"/>
    <col min="6" max="6" width="9.5" style="22" bestFit="1" customWidth="1"/>
    <col min="7" max="7" width="21.1640625" style="22" customWidth="1"/>
    <col min="8" max="8" width="12.1640625" style="22" bestFit="1" customWidth="1"/>
    <col min="9" max="9" width="22.5" style="22" customWidth="1"/>
    <col min="10" max="10" width="10.83203125" style="22" bestFit="1" customWidth="1"/>
    <col min="11" max="11" width="7.33203125" style="23" bestFit="1" customWidth="1"/>
    <col min="12" max="12" width="11.33203125" style="22" bestFit="1" customWidth="1"/>
    <col min="13" max="13" width="5.83203125" style="22" bestFit="1" customWidth="1"/>
    <col min="14" max="14" width="5.5" style="22" bestFit="1" customWidth="1"/>
    <col min="15" max="15" width="9.33203125" style="22" bestFit="1" customWidth="1"/>
    <col min="16" max="16" width="12.1640625" style="23" customWidth="1"/>
    <col min="17" max="17" width="14.33203125" style="23" customWidth="1"/>
    <col min="18" max="18" width="10.83203125" style="22" bestFit="1" customWidth="1"/>
    <col min="19" max="19" width="11" style="22" bestFit="1" customWidth="1"/>
    <col min="20" max="20" width="5.83203125" style="22" bestFit="1" customWidth="1"/>
    <col min="21" max="21" width="3.5" style="22" bestFit="1" customWidth="1"/>
    <col min="22" max="22" width="3" style="22" bestFit="1" customWidth="1"/>
    <col min="23" max="23" width="8.83203125" style="22" bestFit="1" customWidth="1"/>
    <col min="24" max="24" width="4.6640625" style="22" bestFit="1" customWidth="1"/>
    <col min="25" max="25" width="3.5" style="22" bestFit="1" customWidth="1"/>
    <col min="26" max="26" width="5" style="22" bestFit="1" customWidth="1"/>
    <col min="27" max="27" width="6.6640625" style="22" bestFit="1" customWidth="1"/>
    <col min="28" max="28" width="10.6640625" style="22" bestFit="1" customWidth="1"/>
    <col min="29" max="29" width="11.1640625" style="22" bestFit="1" customWidth="1"/>
    <col min="30" max="31" width="9" style="22" bestFit="1" customWidth="1"/>
    <col min="32" max="32" width="15.6640625" style="22" bestFit="1" customWidth="1"/>
    <col min="33" max="33" width="11.1640625" style="22" customWidth="1"/>
    <col min="34" max="34" width="52.1640625" style="22" customWidth="1"/>
    <col min="35" max="35" width="5.83203125" style="22" customWidth="1"/>
    <col min="36" max="36" width="13.5" style="22" customWidth="1"/>
    <col min="37" max="37" width="21" style="22" customWidth="1"/>
    <col min="38" max="38" width="15.1640625" style="22" customWidth="1"/>
    <col min="39" max="39" width="16.33203125" style="22" customWidth="1"/>
    <col min="40" max="40" width="15.1640625" style="22" customWidth="1"/>
    <col min="41" max="41" width="11.1640625" style="22" bestFit="1" customWidth="1"/>
    <col min="42" max="42" width="9" style="22" bestFit="1" customWidth="1"/>
    <col min="43" max="43" width="14" style="22" bestFit="1" customWidth="1"/>
    <col min="44" max="44" width="10" style="22" bestFit="1" customWidth="1"/>
    <col min="45" max="45" width="12.6640625" style="22" bestFit="1" customWidth="1"/>
    <col min="46" max="46" width="14.6640625" style="22" bestFit="1" customWidth="1"/>
    <col min="47" max="47" width="12" style="22" customWidth="1"/>
    <col min="48" max="16384" width="9.1640625" style="14"/>
  </cols>
  <sheetData>
    <row r="1" spans="1:47" ht="24" x14ac:dyDescent="0.2">
      <c r="A1" s="25" t="s">
        <v>0</v>
      </c>
      <c r="B1" s="15" t="s">
        <v>1</v>
      </c>
      <c r="C1" s="15" t="s">
        <v>2</v>
      </c>
      <c r="D1" s="25" t="s">
        <v>3</v>
      </c>
      <c r="E1" s="15" t="s">
        <v>4</v>
      </c>
      <c r="F1" s="25" t="s">
        <v>5</v>
      </c>
      <c r="G1" s="15" t="s">
        <v>6</v>
      </c>
      <c r="H1" s="25" t="s">
        <v>7</v>
      </c>
      <c r="I1" s="15" t="s">
        <v>8</v>
      </c>
      <c r="J1" s="15" t="s">
        <v>9</v>
      </c>
      <c r="K1" s="13" t="s">
        <v>10</v>
      </c>
      <c r="L1" s="15" t="s">
        <v>11</v>
      </c>
      <c r="M1" s="16" t="s">
        <v>12</v>
      </c>
      <c r="N1" s="17" t="s">
        <v>13</v>
      </c>
      <c r="O1" s="17" t="s">
        <v>14</v>
      </c>
      <c r="P1" s="13" t="s">
        <v>15</v>
      </c>
      <c r="Q1" s="13" t="s">
        <v>16</v>
      </c>
      <c r="R1" s="17" t="s">
        <v>17</v>
      </c>
      <c r="S1" s="17" t="s">
        <v>18</v>
      </c>
      <c r="T1" s="27" t="s">
        <v>19</v>
      </c>
      <c r="U1" s="27" t="s">
        <v>20</v>
      </c>
      <c r="V1" s="27" t="s">
        <v>21</v>
      </c>
      <c r="W1" s="2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row>
    <row r="2" spans="1:47" s="9" customFormat="1" ht="105" x14ac:dyDescent="0.2">
      <c r="A2" s="19"/>
      <c r="B2" s="19" t="s">
        <v>165</v>
      </c>
      <c r="C2" s="19" t="s">
        <v>56</v>
      </c>
      <c r="D2" s="19"/>
      <c r="E2" s="19" t="s">
        <v>58</v>
      </c>
      <c r="F2" s="19"/>
      <c r="G2" s="19" t="str">
        <f>UPPER('[1]TRANSFERENCIA DOCUMENTAL'!$C$15)</f>
        <v>ACTAS DEL COMITE DE INVESTIGACIONES</v>
      </c>
      <c r="H2" s="19"/>
      <c r="I2" s="19" t="str">
        <f>UPPER('[1]TRANSFERENCIA DOCUMENTAL'!$D$15)</f>
        <v>COMITE DE INVESTIGACION Y ETICA</v>
      </c>
      <c r="J2" s="19" t="s">
        <v>64</v>
      </c>
      <c r="K2" s="20" t="s">
        <v>123</v>
      </c>
      <c r="L2" s="19" t="s">
        <v>68</v>
      </c>
      <c r="M2" s="19">
        <v>1</v>
      </c>
      <c r="N2" s="24">
        <v>169</v>
      </c>
      <c r="O2" s="19"/>
      <c r="P2" s="20" t="s">
        <v>166</v>
      </c>
      <c r="Q2" s="20" t="s">
        <v>167</v>
      </c>
      <c r="R2" s="19"/>
      <c r="S2" s="19"/>
      <c r="T2" s="19"/>
      <c r="U2" s="19"/>
      <c r="V2" s="19"/>
      <c r="W2" s="19"/>
      <c r="X2" s="19" t="s">
        <v>76</v>
      </c>
      <c r="Y2" s="19" t="s">
        <v>77</v>
      </c>
      <c r="Z2" s="19" t="s">
        <v>78</v>
      </c>
      <c r="AA2" s="19" t="s">
        <v>100</v>
      </c>
      <c r="AB2" s="19" t="s">
        <v>169</v>
      </c>
      <c r="AC2" s="19" t="s">
        <v>170</v>
      </c>
      <c r="AD2" s="19"/>
      <c r="AE2" s="19"/>
      <c r="AF2" s="19" t="s">
        <v>168</v>
      </c>
      <c r="AG2" s="19" t="s">
        <v>171</v>
      </c>
      <c r="AH2" s="19" t="str">
        <f>UPPER('[1]TRANSFERENCIA DOCUMENTAL'!$E$15)</f>
        <v xml:space="preserve">ACTAS, COMUNICADOS, PROPUESTAS DE INVESTIGACION: APLICACION WEB DE AUTODIAGNOSTICO EN GESTION DE DISEÑO Y DESARROLLO DE PRODUCTOS: CREACION E INNOVACION COMO PROCESO EVOLUTIVO ABIERTO EN LOS MUNDOS VIRTUALES; NUEVA POLITICA DE INVESTIGACION EN LA UNIVERSIDAD; ENSAYOS EN MESA VIBRATORIA DE CAPILLAS DOCTRINERAS; HASTA EL CUELLO; ANALISIS DE LAS MEMORAS DESCRIPTIVAS, ENTRE OTROS  </v>
      </c>
      <c r="AI2" s="19">
        <v>1</v>
      </c>
      <c r="AJ2" s="19" t="s">
        <v>88</v>
      </c>
      <c r="AK2" s="19" t="s">
        <v>87</v>
      </c>
      <c r="AL2" s="19" t="s">
        <v>106</v>
      </c>
      <c r="AM2" s="19" t="s">
        <v>172</v>
      </c>
      <c r="AN2" s="19" t="s">
        <v>90</v>
      </c>
      <c r="AO2" s="19"/>
      <c r="AP2" s="19"/>
      <c r="AQ2" s="19"/>
      <c r="AR2" s="19"/>
      <c r="AS2" s="19"/>
      <c r="AT2" s="19"/>
      <c r="AU2" s="19" t="s">
        <v>51</v>
      </c>
    </row>
    <row r="3" spans="1:47" s="9" customFormat="1" ht="90" x14ac:dyDescent="0.2">
      <c r="A3" s="19"/>
      <c r="B3" s="19" t="s">
        <v>165</v>
      </c>
      <c r="C3" s="19" t="s">
        <v>56</v>
      </c>
      <c r="D3" s="19"/>
      <c r="E3" s="19" t="s">
        <v>58</v>
      </c>
      <c r="F3" s="19"/>
      <c r="G3" s="19" t="s">
        <v>173</v>
      </c>
      <c r="H3" s="19"/>
      <c r="I3" s="19" t="s">
        <v>174</v>
      </c>
      <c r="J3" s="19" t="s">
        <v>64</v>
      </c>
      <c r="K3" s="20" t="s">
        <v>123</v>
      </c>
      <c r="L3" s="19" t="s">
        <v>68</v>
      </c>
      <c r="M3" s="19">
        <v>3</v>
      </c>
      <c r="N3" s="19">
        <v>214</v>
      </c>
      <c r="O3" s="19"/>
      <c r="P3" s="20" t="s">
        <v>175</v>
      </c>
      <c r="Q3" s="20" t="s">
        <v>176</v>
      </c>
      <c r="R3" s="19"/>
      <c r="S3" s="19"/>
      <c r="T3" s="19"/>
      <c r="U3" s="19"/>
      <c r="V3" s="19"/>
      <c r="W3" s="19"/>
      <c r="X3" s="19" t="s">
        <v>76</v>
      </c>
      <c r="Y3" s="19" t="s">
        <v>77</v>
      </c>
      <c r="Z3" s="19" t="s">
        <v>78</v>
      </c>
      <c r="AA3" s="19" t="s">
        <v>100</v>
      </c>
      <c r="AB3" s="19" t="s">
        <v>169</v>
      </c>
      <c r="AC3" s="19" t="s">
        <v>178</v>
      </c>
      <c r="AD3" s="19"/>
      <c r="AE3" s="19"/>
      <c r="AF3" s="19" t="s">
        <v>177</v>
      </c>
      <c r="AG3" s="19" t="s">
        <v>171</v>
      </c>
      <c r="AH3" s="19" t="str">
        <f>UPPER('[1]TRANSFERENCIA DOCUMENTAL'!$E$16)</f>
        <v>ACTAS, COMUNICADOS, PROPUESTAS DE INVESTIGACION: DISEÑO DE UN SERVICIO DE CUIDADO DE LA SALUD AMIGABLE CON LOS NIÑOS DEL SERVICIO DE PEDIATRIA HUSI; ESPACIOS PLEGADOS: EXPLORACION TEORICA Y MORFOLOGICA; ESTUDIO COMPARATIVO ENTRE LOS MACROPROYECTOS FORMULADOS EN COLOMBIA CON LOS NEW TOWN;TALLER DE CARTOGRAFIA SOCIAL DEL PATRIMONIO</v>
      </c>
      <c r="AI3" s="19">
        <v>2</v>
      </c>
      <c r="AJ3" s="19" t="s">
        <v>88</v>
      </c>
      <c r="AK3" s="19" t="s">
        <v>87</v>
      </c>
      <c r="AL3" s="19" t="s">
        <v>106</v>
      </c>
      <c r="AM3" s="19" t="s">
        <v>172</v>
      </c>
      <c r="AN3" s="19" t="s">
        <v>90</v>
      </c>
      <c r="AO3" s="19"/>
      <c r="AP3" s="19"/>
      <c r="AQ3" s="19"/>
      <c r="AR3" s="19"/>
      <c r="AS3" s="19"/>
      <c r="AT3" s="19"/>
      <c r="AU3" s="19" t="s">
        <v>51</v>
      </c>
    </row>
    <row r="4" spans="1:47" s="9" customFormat="1" ht="75" x14ac:dyDescent="0.2">
      <c r="A4" s="19"/>
      <c r="B4" s="19" t="s">
        <v>165</v>
      </c>
      <c r="C4" s="19" t="s">
        <v>56</v>
      </c>
      <c r="D4" s="19"/>
      <c r="E4" s="19" t="s">
        <v>58</v>
      </c>
      <c r="F4" s="19"/>
      <c r="G4" s="19" t="s">
        <v>173</v>
      </c>
      <c r="H4" s="19"/>
      <c r="I4" s="19" t="s">
        <v>174</v>
      </c>
      <c r="J4" s="19" t="s">
        <v>64</v>
      </c>
      <c r="K4" s="20" t="s">
        <v>123</v>
      </c>
      <c r="L4" s="19" t="s">
        <v>68</v>
      </c>
      <c r="M4" s="19">
        <v>2</v>
      </c>
      <c r="N4" s="19">
        <v>155</v>
      </c>
      <c r="O4" s="19"/>
      <c r="P4" s="20" t="s">
        <v>179</v>
      </c>
      <c r="Q4" s="20" t="s">
        <v>179</v>
      </c>
      <c r="R4" s="19"/>
      <c r="S4" s="19"/>
      <c r="T4" s="19"/>
      <c r="U4" s="19"/>
      <c r="V4" s="19"/>
      <c r="W4" s="19"/>
      <c r="X4" s="19" t="s">
        <v>76</v>
      </c>
      <c r="Y4" s="19" t="s">
        <v>77</v>
      </c>
      <c r="Z4" s="19" t="s">
        <v>78</v>
      </c>
      <c r="AA4" s="19" t="s">
        <v>100</v>
      </c>
      <c r="AB4" s="19" t="s">
        <v>169</v>
      </c>
      <c r="AC4" s="19" t="s">
        <v>181</v>
      </c>
      <c r="AD4" s="19"/>
      <c r="AE4" s="19"/>
      <c r="AF4" s="19" t="s">
        <v>180</v>
      </c>
      <c r="AG4" s="19" t="s">
        <v>171</v>
      </c>
      <c r="AH4" s="19" t="str">
        <f>UPPER('[1]TRANSFERENCIA DOCUMENTAL'!$E$17)</f>
        <v>ACTAS, COMUNICADOS, PROPUESTAS DE INVESTIGACION: APROXIMACION COMPRENSIVA A LA CONTRUCCION TERRITORIAL DE AGUA DE DIOS; VALORACION PATRIMONIAL DEL FC DE LA DORADA, DESDE LA TRANSFORMACION DEL TERRITORIO EN EL TRANSITO ENTRE EL BAJO Y EL ALTO MAGDALENA</v>
      </c>
      <c r="AI4" s="19">
        <v>3</v>
      </c>
      <c r="AJ4" s="19" t="s">
        <v>88</v>
      </c>
      <c r="AK4" s="19" t="s">
        <v>87</v>
      </c>
      <c r="AL4" s="19" t="s">
        <v>106</v>
      </c>
      <c r="AM4" s="19" t="s">
        <v>172</v>
      </c>
      <c r="AN4" s="19" t="s">
        <v>90</v>
      </c>
      <c r="AO4" s="19"/>
      <c r="AP4" s="19"/>
      <c r="AQ4" s="19"/>
      <c r="AR4" s="19"/>
      <c r="AS4" s="19"/>
      <c r="AT4" s="19"/>
      <c r="AU4" s="19" t="s">
        <v>51</v>
      </c>
    </row>
    <row r="5" spans="1:47" s="9" customFormat="1" ht="105" x14ac:dyDescent="0.2">
      <c r="A5" s="19"/>
      <c r="B5" s="19" t="s">
        <v>165</v>
      </c>
      <c r="C5" s="19" t="s">
        <v>56</v>
      </c>
      <c r="D5" s="19"/>
      <c r="E5" s="19" t="s">
        <v>58</v>
      </c>
      <c r="F5" s="19"/>
      <c r="G5" s="19" t="s">
        <v>173</v>
      </c>
      <c r="H5" s="19"/>
      <c r="I5" s="19" t="s">
        <v>174</v>
      </c>
      <c r="J5" s="19" t="s">
        <v>64</v>
      </c>
      <c r="K5" s="20" t="s">
        <v>123</v>
      </c>
      <c r="L5" s="19" t="s">
        <v>68</v>
      </c>
      <c r="M5" s="19">
        <v>4</v>
      </c>
      <c r="N5" s="19">
        <v>196</v>
      </c>
      <c r="O5" s="19"/>
      <c r="P5" s="20" t="s">
        <v>182</v>
      </c>
      <c r="Q5" s="20" t="s">
        <v>183</v>
      </c>
      <c r="R5" s="19"/>
      <c r="S5" s="19"/>
      <c r="T5" s="19"/>
      <c r="U5" s="19"/>
      <c r="V5" s="19"/>
      <c r="W5" s="19"/>
      <c r="X5" s="19" t="s">
        <v>76</v>
      </c>
      <c r="Y5" s="19" t="s">
        <v>77</v>
      </c>
      <c r="Z5" s="19" t="s">
        <v>78</v>
      </c>
      <c r="AA5" s="19" t="s">
        <v>100</v>
      </c>
      <c r="AB5" s="19" t="s">
        <v>169</v>
      </c>
      <c r="AC5" s="19" t="s">
        <v>185</v>
      </c>
      <c r="AD5" s="19"/>
      <c r="AE5" s="19"/>
      <c r="AF5" s="19" t="s">
        <v>184</v>
      </c>
      <c r="AG5" s="19" t="s">
        <v>171</v>
      </c>
      <c r="AH5" s="19" t="str">
        <f>UPPER('[1]TRANSFERENCIA DOCUMENTAL'!$E$18)</f>
        <v>ACTAS, COMUNICADOS, PROPUESTAS DE INVESTIGACION: EL PERFIL ETICO DEL DOCENTE Y DEL PROFESIONAL DISEÑADOR INDUSTRIAL JAVERIANO; CON-TRASTE-SONORO EL DISEÑO DE ARTEFACTOS SONOROS URBANOS; LA CIUDAD COMO CANTERA URBANA, UNA DEMOLICION CONSTRUCTIVA, ANALISIS Y MANIPULACION; DEFINICION DE PARAMETROS FORMALES DE ASIENTO Y DEL ESPALDAR DE SILLAS ESCOLARES</v>
      </c>
      <c r="AI5" s="19">
        <v>4</v>
      </c>
      <c r="AJ5" s="19" t="s">
        <v>88</v>
      </c>
      <c r="AK5" s="19" t="s">
        <v>87</v>
      </c>
      <c r="AL5" s="19" t="s">
        <v>106</v>
      </c>
      <c r="AM5" s="19" t="s">
        <v>172</v>
      </c>
      <c r="AN5" s="19" t="s">
        <v>90</v>
      </c>
      <c r="AO5" s="19"/>
      <c r="AP5" s="19"/>
      <c r="AQ5" s="19"/>
      <c r="AR5" s="19"/>
      <c r="AS5" s="19"/>
      <c r="AT5" s="19"/>
      <c r="AU5" s="19" t="s">
        <v>51</v>
      </c>
    </row>
    <row r="6" spans="1:47" s="9" customFormat="1" ht="135" x14ac:dyDescent="0.2">
      <c r="A6" s="30"/>
      <c r="B6" s="19" t="s">
        <v>165</v>
      </c>
      <c r="C6" s="19" t="s">
        <v>56</v>
      </c>
      <c r="D6" s="19"/>
      <c r="E6" s="19" t="s">
        <v>58</v>
      </c>
      <c r="F6" s="19"/>
      <c r="G6" s="19" t="s">
        <v>173</v>
      </c>
      <c r="H6" s="19"/>
      <c r="I6" s="19" t="s">
        <v>174</v>
      </c>
      <c r="J6" s="19" t="s">
        <v>64</v>
      </c>
      <c r="K6" s="20" t="s">
        <v>118</v>
      </c>
      <c r="L6" s="19" t="s">
        <v>68</v>
      </c>
      <c r="M6" s="19">
        <v>7</v>
      </c>
      <c r="N6" s="19">
        <v>246</v>
      </c>
      <c r="O6" s="19"/>
      <c r="P6" s="20" t="s">
        <v>186</v>
      </c>
      <c r="Q6" s="20" t="s">
        <v>187</v>
      </c>
      <c r="R6" s="19"/>
      <c r="S6" s="19"/>
      <c r="T6" s="19"/>
      <c r="U6" s="19"/>
      <c r="V6" s="19"/>
      <c r="W6" s="19"/>
      <c r="X6" s="19" t="s">
        <v>76</v>
      </c>
      <c r="Y6" s="19" t="s">
        <v>77</v>
      </c>
      <c r="Z6" s="19" t="s">
        <v>78</v>
      </c>
      <c r="AA6" s="19" t="s">
        <v>100</v>
      </c>
      <c r="AB6" s="19" t="s">
        <v>169</v>
      </c>
      <c r="AC6" s="18" t="s">
        <v>189</v>
      </c>
      <c r="AD6" s="19"/>
      <c r="AE6" s="19"/>
      <c r="AF6" s="21" t="s">
        <v>188</v>
      </c>
      <c r="AG6" s="19" t="s">
        <v>171</v>
      </c>
      <c r="AH6" s="19" t="str">
        <f>UPPER('[1]TRANSFERENCIA DOCUMENTAL'!$E$19)</f>
        <v>ACTAS, COMUNICADOS, PROPUESTAS DE INVESTIGACION: ARQUITECTURA DE LOS COLEGIOS DE LA COMPAÑIA DE JESUS EN COLOMBIA; FORMULACION DE INDICADORES PARA CAMPUS SUSTENTABLES EN EL CONTEXTO DE AUSJAL; INFORME PROYECTO HACIA UN MODELO DE ORDENAMIENTO LOCAL DEL TERRITORIO; ESTUDIO COMPARATIVO ENTRE MACRO PROYECTOS URBANOS; ANALISIS DE LAS MEMORIAS DESCRIPTIVAS Y PLANIMETRIAS DEL PROYECTO ARQUITECTONICO EN LAS BIENALES; JUSTICIA ESPACIAL URBANA, CONCEPTOS Y METODOS DE MEDICION</v>
      </c>
      <c r="AI6" s="19">
        <v>5</v>
      </c>
      <c r="AJ6" s="19" t="s">
        <v>88</v>
      </c>
      <c r="AK6" s="19" t="s">
        <v>87</v>
      </c>
      <c r="AL6" s="19" t="s">
        <v>106</v>
      </c>
      <c r="AM6" s="19" t="s">
        <v>172</v>
      </c>
      <c r="AN6" s="19" t="s">
        <v>90</v>
      </c>
      <c r="AO6" s="19"/>
      <c r="AP6" s="19"/>
      <c r="AQ6" s="19"/>
      <c r="AR6" s="19"/>
      <c r="AS6" s="19"/>
      <c r="AT6" s="19"/>
      <c r="AU6" s="19" t="s">
        <v>51</v>
      </c>
    </row>
    <row r="7" spans="1:47" s="9" customFormat="1" ht="210" x14ac:dyDescent="0.2">
      <c r="A7" s="19"/>
      <c r="B7" s="19" t="s">
        <v>165</v>
      </c>
      <c r="C7" s="19" t="s">
        <v>56</v>
      </c>
      <c r="D7" s="19"/>
      <c r="E7" s="19" t="s">
        <v>58</v>
      </c>
      <c r="F7" s="19"/>
      <c r="G7" s="19" t="s">
        <v>173</v>
      </c>
      <c r="H7" s="19"/>
      <c r="I7" s="19" t="s">
        <v>174</v>
      </c>
      <c r="J7" s="19" t="s">
        <v>64</v>
      </c>
      <c r="K7" s="20" t="s">
        <v>118</v>
      </c>
      <c r="L7" s="19" t="s">
        <v>68</v>
      </c>
      <c r="M7" s="19">
        <v>5</v>
      </c>
      <c r="N7" s="19">
        <v>205</v>
      </c>
      <c r="O7" s="19"/>
      <c r="P7" s="20" t="s">
        <v>190</v>
      </c>
      <c r="Q7" s="20" t="s">
        <v>191</v>
      </c>
      <c r="R7" s="19"/>
      <c r="S7" s="19"/>
      <c r="T7" s="19"/>
      <c r="U7" s="19"/>
      <c r="V7" s="19"/>
      <c r="W7" s="19"/>
      <c r="X7" s="19" t="s">
        <v>76</v>
      </c>
      <c r="Y7" s="19" t="s">
        <v>77</v>
      </c>
      <c r="Z7" s="19" t="s">
        <v>78</v>
      </c>
      <c r="AA7" s="19" t="s">
        <v>100</v>
      </c>
      <c r="AB7" s="19" t="s">
        <v>169</v>
      </c>
      <c r="AC7" s="19" t="s">
        <v>193</v>
      </c>
      <c r="AD7" s="19"/>
      <c r="AE7" s="19"/>
      <c r="AF7" s="19" t="s">
        <v>192</v>
      </c>
      <c r="AG7" s="19" t="s">
        <v>171</v>
      </c>
      <c r="AH7" s="19" t="str">
        <f>UPPER('[1]TRANSFERENCIA DOCUMENTAL'!$E$20)</f>
        <v xml:space="preserve">ACTAS, COMUNICADOS, PROPUESTAS DE INVESTIGACION: LA IDEA DE MATERIALIDAD EN LA CREACION DEL OBJETO ARQUITECTONICO, UN ANALISIS DE LA CREACION FORMAL; ESTUDIO EXPLORATIVO DE LAS PRACTICAS PRE-PROFESIONALES DE LA CARRERA DE DISEÑO INDUSTRIAL; CENTRO HISTORICO Y TERRITORIO, ECOSISTEMA CULTURAL MOMPOSINO; ESTADO DEL ARTE EN LA INVESTIGACION PROYECTUAL EN DISEÑO; EMPRENDIMIENTO EN EL DISEÑADOR INDUSTRIAL EN COLOMBIA; ANALISIS DE LAS MEMORIAS DESCRIPTIVAS Y PLANIMETRIAS DEL PROYECTO ARQUITECTONICO EN LAS BIENALES; DECISION COMITE ASESOR DE INVESTIGACION FRENTE AL PROYECTO EL PERFIL ETICO DEL DOCENTE Y PROFESIONAL DISEÑADOR INDUSTRIAL JAVERIANO EN COLOMBIA; CARTA NOMBRAMIENTO Y AGRADECIMIENTO ASESORES EXTERNOS; EL PAPEL DE LA TECNOLOGIA COMO RESPUESTA AL GRADO DE INSOSTENIBILIDAD AMBIENTAL  </v>
      </c>
      <c r="AI7" s="19">
        <v>6</v>
      </c>
      <c r="AJ7" s="19" t="s">
        <v>88</v>
      </c>
      <c r="AK7" s="19" t="s">
        <v>87</v>
      </c>
      <c r="AL7" s="19" t="s">
        <v>106</v>
      </c>
      <c r="AM7" s="19" t="s">
        <v>172</v>
      </c>
      <c r="AN7" s="19" t="s">
        <v>90</v>
      </c>
      <c r="AO7" s="19"/>
      <c r="AP7" s="19"/>
      <c r="AQ7" s="19"/>
      <c r="AR7" s="19"/>
      <c r="AS7" s="19"/>
      <c r="AT7" s="19"/>
      <c r="AU7" s="19" t="s">
        <v>51</v>
      </c>
    </row>
    <row r="8" spans="1:47" s="9" customFormat="1" ht="90" x14ac:dyDescent="0.2">
      <c r="A8" s="19"/>
      <c r="B8" s="19" t="s">
        <v>165</v>
      </c>
      <c r="C8" s="19" t="s">
        <v>56</v>
      </c>
      <c r="D8" s="19"/>
      <c r="E8" s="19" t="s">
        <v>58</v>
      </c>
      <c r="F8" s="19"/>
      <c r="G8" s="19" t="s">
        <v>173</v>
      </c>
      <c r="H8" s="19"/>
      <c r="I8" s="19" t="s">
        <v>174</v>
      </c>
      <c r="J8" s="19" t="s">
        <v>64</v>
      </c>
      <c r="K8" s="20" t="s">
        <v>118</v>
      </c>
      <c r="L8" s="19" t="s">
        <v>68</v>
      </c>
      <c r="M8" s="19">
        <v>6</v>
      </c>
      <c r="N8" s="19">
        <v>211</v>
      </c>
      <c r="O8" s="19"/>
      <c r="P8" s="20" t="s">
        <v>194</v>
      </c>
      <c r="Q8" s="20" t="s">
        <v>195</v>
      </c>
      <c r="R8" s="19"/>
      <c r="S8" s="19"/>
      <c r="T8" s="19"/>
      <c r="U8" s="19"/>
      <c r="V8" s="19"/>
      <c r="W8" s="19"/>
      <c r="X8" s="19" t="s">
        <v>76</v>
      </c>
      <c r="Y8" s="19" t="s">
        <v>77</v>
      </c>
      <c r="Z8" s="19" t="s">
        <v>78</v>
      </c>
      <c r="AA8" s="19" t="s">
        <v>100</v>
      </c>
      <c r="AB8" s="19" t="s">
        <v>169</v>
      </c>
      <c r="AC8" s="19" t="s">
        <v>197</v>
      </c>
      <c r="AD8" s="19"/>
      <c r="AE8" s="19"/>
      <c r="AF8" s="19" t="s">
        <v>196</v>
      </c>
      <c r="AG8" s="19" t="s">
        <v>171</v>
      </c>
      <c r="AH8" s="19" t="str">
        <f>UPPER('[1]TRANSFERENCIA DOCUMENTAL'!$E$21)</f>
        <v>ACTAS, COMUNICADOS, PROPUESTAS DE INVESTIGACION: 10*10 HETEROTIPIAS DE LO PUBLICO; CAVERNA ARQUITECTURA VERNACULA COLOMBIANA; CONDICIONES PARA LA IMPLEMENTACION DE HUERTAS VITALES MOVILES EN ASENTAMIENTOS INFORMALES; EVALUACION DE LA SOSTENIBILIDAD AMBIENTAL EN DIFERENTES REGIONES DEL PAIS; BOGOTA INTERACCIONES URBANAS Y MOVILIDAD</v>
      </c>
      <c r="AI8" s="19">
        <v>7</v>
      </c>
      <c r="AJ8" s="19" t="s">
        <v>88</v>
      </c>
      <c r="AK8" s="19" t="s">
        <v>87</v>
      </c>
      <c r="AL8" s="19" t="s">
        <v>106</v>
      </c>
      <c r="AM8" s="19" t="s">
        <v>172</v>
      </c>
      <c r="AN8" s="19" t="s">
        <v>90</v>
      </c>
      <c r="AO8" s="19"/>
      <c r="AP8" s="19"/>
      <c r="AQ8" s="19"/>
      <c r="AR8" s="19"/>
      <c r="AS8" s="19"/>
      <c r="AT8" s="19"/>
      <c r="AU8" s="19" t="s">
        <v>51</v>
      </c>
    </row>
    <row r="9" spans="1:47" s="9" customFormat="1" ht="45" x14ac:dyDescent="0.2">
      <c r="A9" s="19"/>
      <c r="B9" s="19" t="s">
        <v>165</v>
      </c>
      <c r="C9" s="19" t="s">
        <v>56</v>
      </c>
      <c r="D9" s="19"/>
      <c r="E9" s="19" t="str">
        <f>UPPER('[1]TRANSFERENCIA DOCUMENTAL'!$B$22)</f>
        <v>INFORMES</v>
      </c>
      <c r="F9" s="19"/>
      <c r="G9" s="19" t="str">
        <f>UPPER('[1]TRANSFERENCIA DOCUMENTAL'!$C$22)</f>
        <v>INFORMES DE DIRECTIVOS</v>
      </c>
      <c r="H9" s="19"/>
      <c r="I9" s="19" t="str">
        <f>UPPER('[1]TRANSFERENCIA DOCUMENTAL'!$D$22)</f>
        <v>INFORMES DE GESTION</v>
      </c>
      <c r="J9" s="19" t="s">
        <v>64</v>
      </c>
      <c r="K9" s="20" t="s">
        <v>118</v>
      </c>
      <c r="L9" s="19" t="s">
        <v>68</v>
      </c>
      <c r="M9" s="19">
        <v>1</v>
      </c>
      <c r="N9" s="19">
        <v>30</v>
      </c>
      <c r="O9" s="19"/>
      <c r="P9" s="20" t="s">
        <v>198</v>
      </c>
      <c r="Q9" s="20" t="s">
        <v>199</v>
      </c>
      <c r="R9" s="19"/>
      <c r="S9" s="19"/>
      <c r="T9" s="19"/>
      <c r="U9" s="19"/>
      <c r="V9" s="19"/>
      <c r="W9" s="19"/>
      <c r="X9" s="19" t="s">
        <v>76</v>
      </c>
      <c r="Y9" s="19" t="s">
        <v>77</v>
      </c>
      <c r="Z9" s="19" t="s">
        <v>78</v>
      </c>
      <c r="AA9" s="19" t="s">
        <v>100</v>
      </c>
      <c r="AB9" s="19" t="s">
        <v>169</v>
      </c>
      <c r="AC9" s="19" t="s">
        <v>201</v>
      </c>
      <c r="AD9" s="19"/>
      <c r="AE9" s="19"/>
      <c r="AF9" s="19" t="s">
        <v>200</v>
      </c>
      <c r="AG9" s="19" t="s">
        <v>171</v>
      </c>
      <c r="AH9" s="19" t="str">
        <f>UPPER('[1]TRANSFERENCIA DOCUMENTAL'!$E$22)</f>
        <v>INFORME DE GESTION 2015, INFORME EJECUTIVO DE GESTION 2007-2013; CARTAS, SOLICITUDES, ENTRE OTROS</v>
      </c>
      <c r="AI9" s="19">
        <v>8</v>
      </c>
      <c r="AJ9" s="19" t="s">
        <v>88</v>
      </c>
      <c r="AK9" s="19" t="s">
        <v>87</v>
      </c>
      <c r="AL9" s="19" t="s">
        <v>106</v>
      </c>
      <c r="AM9" s="19" t="s">
        <v>172</v>
      </c>
      <c r="AN9" s="19" t="s">
        <v>90</v>
      </c>
      <c r="AO9" s="19"/>
      <c r="AP9" s="19"/>
      <c r="AQ9" s="19"/>
      <c r="AR9" s="19"/>
      <c r="AS9" s="19"/>
      <c r="AT9" s="19"/>
      <c r="AU9" s="19" t="s">
        <v>51</v>
      </c>
    </row>
    <row r="10" spans="1:47" s="9" customFormat="1" ht="75" x14ac:dyDescent="0.2">
      <c r="A10" s="19"/>
      <c r="B10" s="19" t="s">
        <v>165</v>
      </c>
      <c r="C10" s="19" t="s">
        <v>56</v>
      </c>
      <c r="D10" s="19"/>
      <c r="E10" s="19" t="str">
        <f>UPPER('[1]TRANSFERENCIA DOCUMENTAL'!$B$23)</f>
        <v>REDES DE COOPERACION</v>
      </c>
      <c r="F10" s="19"/>
      <c r="G10" s="19"/>
      <c r="H10" s="19"/>
      <c r="I10" s="19" t="str">
        <f>UPPER('[1]TRANSFERENCIA DOCUMENTAL'!$D$23)</f>
        <v>COORDINACION EGRESADOS ARQUIDISEÑO</v>
      </c>
      <c r="J10" s="19" t="s">
        <v>64</v>
      </c>
      <c r="K10" s="20" t="s">
        <v>202</v>
      </c>
      <c r="L10" s="19" t="s">
        <v>68</v>
      </c>
      <c r="M10" s="19">
        <v>2</v>
      </c>
      <c r="N10" s="19">
        <v>218</v>
      </c>
      <c r="O10" s="19"/>
      <c r="P10" s="20" t="s">
        <v>203</v>
      </c>
      <c r="Q10" s="20" t="s">
        <v>204</v>
      </c>
      <c r="R10" s="19"/>
      <c r="S10" s="19"/>
      <c r="T10" s="19"/>
      <c r="U10" s="19"/>
      <c r="V10" s="19"/>
      <c r="W10" s="19"/>
      <c r="X10" s="19" t="s">
        <v>97</v>
      </c>
      <c r="Y10" s="19" t="s">
        <v>98</v>
      </c>
      <c r="Z10" s="19" t="s">
        <v>99</v>
      </c>
      <c r="AA10" s="19" t="s">
        <v>207</v>
      </c>
      <c r="AB10" s="19" t="s">
        <v>208</v>
      </c>
      <c r="AC10" s="19" t="s">
        <v>206</v>
      </c>
      <c r="AD10" s="19"/>
      <c r="AE10" s="19"/>
      <c r="AF10" s="19" t="s">
        <v>205</v>
      </c>
      <c r="AG10" s="19" t="s">
        <v>171</v>
      </c>
      <c r="AH10" s="19" t="str">
        <f>UPPER('[1]TRANSFERENCIA DOCUMENTAL'!$E$23)</f>
        <v xml:space="preserve">CARTAS INVITACION CONVERSATORIOS, DOCUMENTOS DEFINICION RED DE EGRESADOS, INFORMES COMITE DE EGRESADOS, PROPUESTA PLANTEAMIENTO ORGANIZACIONAL RELACIONES CON EGRESADOS, INFORME I ENCUENTRO DE EGRESADOS, CORREOS, COMUNICADOS, ENTRE OTROS. </v>
      </c>
      <c r="AI10" s="19">
        <v>9</v>
      </c>
      <c r="AJ10" s="19" t="s">
        <v>88</v>
      </c>
      <c r="AK10" s="19" t="s">
        <v>87</v>
      </c>
      <c r="AL10" s="19" t="s">
        <v>106</v>
      </c>
      <c r="AM10" s="19" t="s">
        <v>172</v>
      </c>
      <c r="AN10" s="19" t="s">
        <v>90</v>
      </c>
      <c r="AO10" s="19"/>
      <c r="AP10" s="19"/>
      <c r="AQ10" s="19"/>
      <c r="AR10" s="19"/>
      <c r="AS10" s="19"/>
      <c r="AT10" s="19"/>
      <c r="AU10" s="19" t="s">
        <v>51</v>
      </c>
    </row>
    <row r="11" spans="1:47" s="9" customFormat="1" ht="45" x14ac:dyDescent="0.2">
      <c r="A11" s="19"/>
      <c r="B11" s="19" t="s">
        <v>165</v>
      </c>
      <c r="C11" s="19" t="s">
        <v>56</v>
      </c>
      <c r="D11" s="19"/>
      <c r="E11" s="19" t="str">
        <f>UPPER('[1]TRANSFERENCIA DOCUMENTAL'!$B$23)</f>
        <v>REDES DE COOPERACION</v>
      </c>
      <c r="F11" s="19"/>
      <c r="G11" s="19"/>
      <c r="H11" s="19"/>
      <c r="I11" s="19" t="s">
        <v>213</v>
      </c>
      <c r="J11" s="19" t="s">
        <v>64</v>
      </c>
      <c r="K11" s="20" t="s">
        <v>123</v>
      </c>
      <c r="L11" s="19" t="s">
        <v>68</v>
      </c>
      <c r="M11" s="19">
        <v>1</v>
      </c>
      <c r="N11" s="19">
        <v>203</v>
      </c>
      <c r="O11" s="19"/>
      <c r="P11" s="20" t="s">
        <v>209</v>
      </c>
      <c r="Q11" s="20" t="s">
        <v>210</v>
      </c>
      <c r="R11" s="19"/>
      <c r="S11" s="19"/>
      <c r="T11" s="19"/>
      <c r="U11" s="19"/>
      <c r="V11" s="19"/>
      <c r="W11" s="19"/>
      <c r="X11" s="19" t="s">
        <v>97</v>
      </c>
      <c r="Y11" s="19" t="s">
        <v>98</v>
      </c>
      <c r="Z11" s="19" t="s">
        <v>99</v>
      </c>
      <c r="AA11" s="19" t="s">
        <v>207</v>
      </c>
      <c r="AB11" s="19" t="s">
        <v>208</v>
      </c>
      <c r="AC11" s="19" t="s">
        <v>212</v>
      </c>
      <c r="AD11" s="19"/>
      <c r="AE11" s="19"/>
      <c r="AF11" s="19" t="s">
        <v>211</v>
      </c>
      <c r="AG11" s="19" t="s">
        <v>171</v>
      </c>
      <c r="AH11" s="19" t="str">
        <f>UPPER('[1]TRANSFERENCIA DOCUMENTAL'!$E$24)</f>
        <v>CARTAS, CORREOS ELECTRONICOS, INVITACION CONVERSATORIOS, INVITACIONES E INFORMES I ENCUENTRO DE EGREADOS, PRESUPUESTOS, ENTRE OTROS</v>
      </c>
      <c r="AI11" s="19">
        <v>10</v>
      </c>
      <c r="AJ11" s="19" t="s">
        <v>88</v>
      </c>
      <c r="AK11" s="19" t="s">
        <v>87</v>
      </c>
      <c r="AL11" s="19" t="s">
        <v>106</v>
      </c>
      <c r="AM11" s="19" t="s">
        <v>172</v>
      </c>
      <c r="AN11" s="19" t="s">
        <v>90</v>
      </c>
      <c r="AO11" s="19"/>
      <c r="AP11" s="19"/>
      <c r="AQ11" s="19"/>
      <c r="AR11" s="19"/>
      <c r="AS11" s="19"/>
      <c r="AT11" s="19"/>
      <c r="AU11" s="19" t="s">
        <v>51</v>
      </c>
    </row>
    <row r="12" spans="1:47" s="9" customFormat="1" ht="75" x14ac:dyDescent="0.2">
      <c r="A12" s="19"/>
      <c r="B12" s="19" t="s">
        <v>165</v>
      </c>
      <c r="C12" s="19" t="s">
        <v>56</v>
      </c>
      <c r="D12" s="19"/>
      <c r="E12" s="19" t="str">
        <f>UPPER('[1]TRANSFERENCIA DOCUMENTAL'!$B$23)</f>
        <v>REDES DE COOPERACION</v>
      </c>
      <c r="F12" s="19"/>
      <c r="G12" s="19"/>
      <c r="H12" s="19"/>
      <c r="I12" s="19" t="str">
        <f>UPPER('[1]TRANSFERENCIA DOCUMENTAL'!$D$25)</f>
        <v>CONVENIOS INTERINSTITUCIONALES, ACUERDOS DE COOPERACIÓN ARQUIDISEÑO</v>
      </c>
      <c r="J12" s="19" t="s">
        <v>64</v>
      </c>
      <c r="K12" s="20" t="s">
        <v>118</v>
      </c>
      <c r="L12" s="19" t="s">
        <v>68</v>
      </c>
      <c r="M12" s="19">
        <v>2</v>
      </c>
      <c r="N12" s="19">
        <v>155</v>
      </c>
      <c r="O12" s="19"/>
      <c r="P12" s="20" t="s">
        <v>214</v>
      </c>
      <c r="Q12" s="20" t="s">
        <v>215</v>
      </c>
      <c r="R12" s="19"/>
      <c r="S12" s="19"/>
      <c r="T12" s="19"/>
      <c r="U12" s="19"/>
      <c r="V12" s="19"/>
      <c r="W12" s="19"/>
      <c r="X12" s="19" t="s">
        <v>97</v>
      </c>
      <c r="Y12" s="19" t="s">
        <v>98</v>
      </c>
      <c r="Z12" s="19" t="s">
        <v>99</v>
      </c>
      <c r="AA12" s="19" t="s">
        <v>207</v>
      </c>
      <c r="AB12" s="19" t="s">
        <v>208</v>
      </c>
      <c r="AC12" s="19" t="s">
        <v>217</v>
      </c>
      <c r="AD12" s="19"/>
      <c r="AE12" s="19"/>
      <c r="AF12" s="19" t="s">
        <v>216</v>
      </c>
      <c r="AG12" s="19" t="s">
        <v>171</v>
      </c>
      <c r="AH12" s="19" t="str">
        <f>UPPER('[1]TRANSFERENCIA DOCUMENTAL'!$E$25)</f>
        <v>CARTAS, CORREOS, DOCUMENTOS TERMINACION CONVENIO CON EL CONSEJO COLOMBIANO DE CONSTRUCCION SOSTENIBLE, CARTAS CONVENIO CON EL INSTITUTO DISTRITAL DE TURISMO, DOCUMENTOS CONVENIOS (UNIVERSITA DI BOLOGNA, VAS COLOMBIA, ICEX ESPAÑA, UNIVERSIDAD DE READING), MODELOS CONVENIOS, ENTRE OTROS</v>
      </c>
      <c r="AI12" s="19">
        <v>11</v>
      </c>
      <c r="AJ12" s="19" t="s">
        <v>88</v>
      </c>
      <c r="AK12" s="19" t="s">
        <v>87</v>
      </c>
      <c r="AL12" s="19" t="s">
        <v>106</v>
      </c>
      <c r="AM12" s="19" t="s">
        <v>172</v>
      </c>
      <c r="AN12" s="19" t="s">
        <v>90</v>
      </c>
      <c r="AO12" s="19"/>
      <c r="AP12" s="19"/>
      <c r="AQ12" s="19"/>
      <c r="AR12" s="19"/>
      <c r="AS12" s="19"/>
      <c r="AT12" s="19"/>
      <c r="AU12" s="19" t="s">
        <v>51</v>
      </c>
    </row>
    <row r="13" spans="1:47" s="9" customFormat="1" ht="90" x14ac:dyDescent="0.2">
      <c r="A13" s="19"/>
      <c r="B13" s="19" t="s">
        <v>165</v>
      </c>
      <c r="C13" s="19" t="s">
        <v>56</v>
      </c>
      <c r="D13" s="19"/>
      <c r="E13" s="19" t="str">
        <f>UPPER('[1]TRANSFERENCIA DOCUMENTAL'!$B$23)</f>
        <v>REDES DE COOPERACION</v>
      </c>
      <c r="F13" s="19"/>
      <c r="G13" s="19"/>
      <c r="H13" s="19"/>
      <c r="I13" s="19" t="str">
        <f>UPPER('[1]TRANSFERENCIA DOCUMENTAL'!$D$26)</f>
        <v>CONVENIOS INTERINSTITUCIONALES, ACUERDOS DE COOPERACIÓN ARQUIDISEÑO</v>
      </c>
      <c r="J13" s="19" t="s">
        <v>64</v>
      </c>
      <c r="K13" s="20" t="s">
        <v>95</v>
      </c>
      <c r="L13" s="19" t="s">
        <v>68</v>
      </c>
      <c r="M13" s="19">
        <v>1</v>
      </c>
      <c r="N13" s="19">
        <v>184</v>
      </c>
      <c r="O13" s="19"/>
      <c r="P13" s="20" t="s">
        <v>218</v>
      </c>
      <c r="Q13" s="20" t="s">
        <v>219</v>
      </c>
      <c r="R13" s="19"/>
      <c r="S13" s="19"/>
      <c r="T13" s="19"/>
      <c r="U13" s="19"/>
      <c r="V13" s="19"/>
      <c r="W13" s="19"/>
      <c r="X13" s="19" t="s">
        <v>97</v>
      </c>
      <c r="Y13" s="19" t="s">
        <v>98</v>
      </c>
      <c r="Z13" s="19" t="s">
        <v>99</v>
      </c>
      <c r="AA13" s="19" t="s">
        <v>207</v>
      </c>
      <c r="AB13" s="19" t="s">
        <v>208</v>
      </c>
      <c r="AC13" s="19" t="s">
        <v>221</v>
      </c>
      <c r="AD13" s="19"/>
      <c r="AE13" s="19"/>
      <c r="AF13" s="19" t="s">
        <v>220</v>
      </c>
      <c r="AG13" s="19" t="s">
        <v>171</v>
      </c>
      <c r="AH13" s="19" t="str">
        <f>UPPER('[1]TRANSFERENCIA DOCUMENTAL'!$E$26)</f>
        <v>CARTAS, CORREOS, DOCUMENTOS CONVENIOS (ICEX ESPAÑA, UNIVERSIDAD DE ALCALÁA UAECD, RED DE INVESTIGACIAN EN ARQUITECTURA-ANDES, TADEO, NACIONAL, SCA Y LA PUJ; ONU HABITAT, FUNDACION ROGEIO SALMONA), MODELOS CONVENIOS, MEMORANDOS DE ENTENDIMIENTO, INFORME EJECUCION PRESUPUESTAL CONVENIO 157 DE 2010 ENTRE IDPC Y PUJ, ENTRE OTROS</v>
      </c>
      <c r="AI13" s="19">
        <v>12</v>
      </c>
      <c r="AJ13" s="19" t="s">
        <v>88</v>
      </c>
      <c r="AK13" s="19" t="s">
        <v>87</v>
      </c>
      <c r="AL13" s="19" t="s">
        <v>106</v>
      </c>
      <c r="AM13" s="19" t="s">
        <v>172</v>
      </c>
      <c r="AN13" s="19" t="s">
        <v>90</v>
      </c>
      <c r="AO13" s="19"/>
      <c r="AP13" s="19"/>
      <c r="AQ13" s="19"/>
      <c r="AR13" s="19"/>
      <c r="AS13" s="19"/>
      <c r="AT13" s="19"/>
      <c r="AU13" s="19" t="s">
        <v>51</v>
      </c>
    </row>
    <row r="14" spans="1:47" s="9" customFormat="1" ht="105" x14ac:dyDescent="0.2">
      <c r="A14" s="19"/>
      <c r="B14" s="19" t="s">
        <v>165</v>
      </c>
      <c r="C14" s="19" t="s">
        <v>56</v>
      </c>
      <c r="D14" s="19"/>
      <c r="E14" s="19" t="str">
        <f>UPPER('[1]TRANSFERENCIA DOCUMENTAL'!$B$27)</f>
        <v>CORRESPONDENCIA</v>
      </c>
      <c r="F14" s="19"/>
      <c r="G14" s="19" t="str">
        <f>UPPER('[1]TRANSFERENCIA DOCUMENTAL'!$C$27)</f>
        <v>CONSECUTIVO CARTAS</v>
      </c>
      <c r="H14" s="19"/>
      <c r="I14" s="19" t="str">
        <f>UPPER('[1]TRANSFERENCIA DOCUMENTAL'!$D$27)</f>
        <v>CORRESPONDENCIA PROGRAMA INTERNACIONAL PEI</v>
      </c>
      <c r="J14" s="19" t="s">
        <v>64</v>
      </c>
      <c r="K14" s="20" t="s">
        <v>202</v>
      </c>
      <c r="L14" s="19" t="s">
        <v>68</v>
      </c>
      <c r="M14" s="19">
        <v>1</v>
      </c>
      <c r="N14" s="19">
        <v>225</v>
      </c>
      <c r="O14" s="19"/>
      <c r="P14" s="20" t="s">
        <v>222</v>
      </c>
      <c r="Q14" s="20" t="s">
        <v>223</v>
      </c>
      <c r="R14" s="19"/>
      <c r="S14" s="19"/>
      <c r="T14" s="19"/>
      <c r="U14" s="19"/>
      <c r="V14" s="19"/>
      <c r="W14" s="19"/>
      <c r="X14" s="19" t="s">
        <v>97</v>
      </c>
      <c r="Y14" s="19" t="s">
        <v>98</v>
      </c>
      <c r="Z14" s="19" t="s">
        <v>99</v>
      </c>
      <c r="AA14" s="19" t="s">
        <v>207</v>
      </c>
      <c r="AB14" s="19" t="s">
        <v>208</v>
      </c>
      <c r="AC14" s="19" t="s">
        <v>225</v>
      </c>
      <c r="AD14" s="19"/>
      <c r="AE14" s="19"/>
      <c r="AF14" s="19" t="s">
        <v>224</v>
      </c>
      <c r="AG14" s="19" t="s">
        <v>171</v>
      </c>
      <c r="AH14" s="19" t="str">
        <f>UPPER('[1]TRANSFERENCIA DOCUMENTAL'!$E$27)</f>
        <v>INFORME PEI 2016-2 VENECIA, BARCELONA Y MADRID, CARTAS DE PRESENTACION ESTUDIANTES PEI EMBAJADA, CARTAS, CORREOS RELACIONADOS CON LOS CURSOS INTERSEMESTRALES, CARTAS CUMPLIMIENTO REQUISITOS CURSOS PEI, DOCUMENTO SOLAR DECHATHLON 2015, AUTORIZACION PEI 2014 POR PARTE DE LA VICERRECTORIA ACADEMICA, CRONOGRAMAS, PRESUPUESTOS, INFORMES, ENTRE OTROS</v>
      </c>
      <c r="AI14" s="19">
        <v>13</v>
      </c>
      <c r="AJ14" s="19" t="s">
        <v>88</v>
      </c>
      <c r="AK14" s="19" t="s">
        <v>87</v>
      </c>
      <c r="AL14" s="19" t="s">
        <v>106</v>
      </c>
      <c r="AM14" s="19" t="s">
        <v>172</v>
      </c>
      <c r="AN14" s="19" t="s">
        <v>90</v>
      </c>
      <c r="AO14" s="19"/>
      <c r="AP14" s="19"/>
      <c r="AQ14" s="19"/>
      <c r="AR14" s="19"/>
      <c r="AS14" s="19"/>
      <c r="AT14" s="19"/>
      <c r="AU14" s="19" t="s">
        <v>51</v>
      </c>
    </row>
    <row r="15" spans="1:47" s="9" customFormat="1" ht="90" x14ac:dyDescent="0.2">
      <c r="A15" s="19"/>
      <c r="B15" s="19" t="s">
        <v>165</v>
      </c>
      <c r="C15" s="19" t="s">
        <v>56</v>
      </c>
      <c r="D15" s="19"/>
      <c r="E15" s="19" t="str">
        <f>UPPER('[1]TRANSFERENCIA DOCUMENTAL'!$B$27)</f>
        <v>CORRESPONDENCIA</v>
      </c>
      <c r="F15" s="19"/>
      <c r="G15" s="19" t="str">
        <f>UPPER('[1]TRANSFERENCIA DOCUMENTAL'!$C$27)</f>
        <v>CONSECUTIVO CARTAS</v>
      </c>
      <c r="H15" s="19"/>
      <c r="I15" s="19" t="str">
        <f>UPPER('[1]TRANSFERENCIA DOCUMENTAL'!$D$28)</f>
        <v>CORRESPONDENCIA DEPARTAMENTOS FACULTAD</v>
      </c>
      <c r="J15" s="19" t="s">
        <v>64</v>
      </c>
      <c r="K15" s="20" t="s">
        <v>95</v>
      </c>
      <c r="L15" s="19" t="s">
        <v>68</v>
      </c>
      <c r="M15" s="19">
        <v>1</v>
      </c>
      <c r="N15" s="19">
        <v>199</v>
      </c>
      <c r="O15" s="19"/>
      <c r="P15" s="20" t="s">
        <v>226</v>
      </c>
      <c r="Q15" s="20" t="s">
        <v>227</v>
      </c>
      <c r="R15" s="19"/>
      <c r="S15" s="19"/>
      <c r="T15" s="19"/>
      <c r="U15" s="19"/>
      <c r="V15" s="19"/>
      <c r="W15" s="19"/>
      <c r="X15" s="19" t="s">
        <v>97</v>
      </c>
      <c r="Y15" s="19" t="s">
        <v>98</v>
      </c>
      <c r="Z15" s="19" t="s">
        <v>99</v>
      </c>
      <c r="AA15" s="19" t="s">
        <v>207</v>
      </c>
      <c r="AB15" s="19" t="s">
        <v>208</v>
      </c>
      <c r="AC15" s="19" t="s">
        <v>229</v>
      </c>
      <c r="AD15" s="19"/>
      <c r="AE15" s="19"/>
      <c r="AF15" s="19" t="s">
        <v>228</v>
      </c>
      <c r="AG15" s="19" t="s">
        <v>171</v>
      </c>
      <c r="AH15" s="19" t="str">
        <f>UPPER('[1]TRANSFERENCIA DOCUMENTAL'!$E$28)</f>
        <v>CARTAS, CORREOS, INFORME VIAJES, ACTAS DE EVALUACION DE DESEMPEÑO, SOLICITUDES CONVERSION DE VACANTES, SOLICITUDES CONTRATACION TEMPORALES, INFORMES PROCESO PARA OCUPAR VACANTES, SOLICITUDES DE AUTORIZACION PAGO DE HORAS CATEDRA, CARTAS DE IDONEIDAD, RESULTADOS EXCELENCIA DOCENTE, ENTRE OTROS</v>
      </c>
      <c r="AI15" s="19">
        <v>14</v>
      </c>
      <c r="AJ15" s="19" t="s">
        <v>88</v>
      </c>
      <c r="AK15" s="19" t="s">
        <v>87</v>
      </c>
      <c r="AL15" s="19" t="s">
        <v>106</v>
      </c>
      <c r="AM15" s="19" t="s">
        <v>172</v>
      </c>
      <c r="AN15" s="19" t="s">
        <v>90</v>
      </c>
      <c r="AO15" s="19"/>
      <c r="AP15" s="19"/>
      <c r="AQ15" s="19"/>
      <c r="AR15" s="19"/>
      <c r="AS15" s="19"/>
      <c r="AT15" s="19"/>
      <c r="AU15" s="19" t="s">
        <v>51</v>
      </c>
    </row>
    <row r="16" spans="1:47" s="9" customFormat="1" ht="105" x14ac:dyDescent="0.2">
      <c r="A16" s="19"/>
      <c r="B16" s="19" t="s">
        <v>165</v>
      </c>
      <c r="C16" s="19" t="s">
        <v>56</v>
      </c>
      <c r="D16" s="19"/>
      <c r="E16" s="19" t="str">
        <f>UPPER('[1]TRANSFERENCIA DOCUMENTAL'!$B$27)</f>
        <v>CORRESPONDENCIA</v>
      </c>
      <c r="F16" s="19"/>
      <c r="G16" s="19" t="str">
        <f>UPPER('[1]TRANSFERENCIA DOCUMENTAL'!$C$27)</f>
        <v>CONSECUTIVO CARTAS</v>
      </c>
      <c r="H16" s="19"/>
      <c r="I16" s="19" t="str">
        <f>UPPER('[1]TRANSFERENCIA DOCUMENTAL'!$D$28)</f>
        <v>CORRESPONDENCIA DEPARTAMENTOS FACULTAD</v>
      </c>
      <c r="J16" s="19" t="s">
        <v>64</v>
      </c>
      <c r="K16" s="20" t="s">
        <v>123</v>
      </c>
      <c r="L16" s="19" t="s">
        <v>68</v>
      </c>
      <c r="M16" s="19">
        <v>2</v>
      </c>
      <c r="N16" s="19">
        <v>198</v>
      </c>
      <c r="O16" s="19"/>
      <c r="P16" s="20" t="s">
        <v>230</v>
      </c>
      <c r="Q16" s="20" t="s">
        <v>231</v>
      </c>
      <c r="R16" s="19"/>
      <c r="S16" s="19"/>
      <c r="T16" s="19"/>
      <c r="U16" s="19"/>
      <c r="V16" s="19"/>
      <c r="W16" s="19"/>
      <c r="X16" s="19" t="s">
        <v>97</v>
      </c>
      <c r="Y16" s="19" t="s">
        <v>98</v>
      </c>
      <c r="Z16" s="19" t="s">
        <v>99</v>
      </c>
      <c r="AA16" s="19" t="s">
        <v>207</v>
      </c>
      <c r="AB16" s="19" t="s">
        <v>208</v>
      </c>
      <c r="AC16" s="19" t="s">
        <v>233</v>
      </c>
      <c r="AD16" s="19"/>
      <c r="AE16" s="19"/>
      <c r="AF16" s="19" t="s">
        <v>232</v>
      </c>
      <c r="AG16" s="19" t="s">
        <v>171</v>
      </c>
      <c r="AH16" s="19" t="str">
        <f>UPPER('[1]TRANSFERENCIA DOCUMENTAL'!$E$29)</f>
        <v>CARTAS, CORREOS, ACTAS DE EVALUACION DE DESEMPEÑO, SOLICITUD APOYO ECONOMICO CURSOS INTERSEMESTRALES, INFORMES, SOLICITUDES CONVERSION DE VACANTES, REATIVACION DE VACANTES, ACTAS COMITE DEPARTAMENTO ESTETICA,  SOLICITUDES CONTRATACION TEMPORALES, INFORMES PROCESO PARA OCUPAR VACANTES, SOLICITUDES DE AUTORIZACION PAGO DE HORAS CATEDRA, ENTRE OTROS</v>
      </c>
      <c r="AI16" s="19">
        <v>15</v>
      </c>
      <c r="AJ16" s="19" t="s">
        <v>88</v>
      </c>
      <c r="AK16" s="19" t="s">
        <v>87</v>
      </c>
      <c r="AL16" s="19" t="s">
        <v>106</v>
      </c>
      <c r="AM16" s="19" t="s">
        <v>172</v>
      </c>
      <c r="AN16" s="19" t="s">
        <v>90</v>
      </c>
      <c r="AO16" s="19"/>
      <c r="AP16" s="19"/>
      <c r="AQ16" s="19"/>
      <c r="AR16" s="19"/>
      <c r="AS16" s="19"/>
      <c r="AT16" s="19"/>
      <c r="AU16" s="19" t="s">
        <v>51</v>
      </c>
    </row>
    <row r="17" spans="1:47" s="9" customFormat="1" ht="118" customHeight="1" x14ac:dyDescent="0.2">
      <c r="A17" s="19"/>
      <c r="B17" s="19" t="s">
        <v>165</v>
      </c>
      <c r="C17" s="19" t="s">
        <v>56</v>
      </c>
      <c r="D17" s="19"/>
      <c r="E17" s="19" t="str">
        <f>UPPER('[1]TRANSFERENCIA DOCUMENTAL'!$B$27)</f>
        <v>CORRESPONDENCIA</v>
      </c>
      <c r="F17" s="19"/>
      <c r="G17" s="19" t="str">
        <f>UPPER('[1]TRANSFERENCIA DOCUMENTAL'!$C$27)</f>
        <v>CONSECUTIVO CARTAS</v>
      </c>
      <c r="H17" s="19"/>
      <c r="I17" s="19" t="str">
        <f>UPPER('[1]TRANSFERENCIA DOCUMENTAL'!$D$28)</f>
        <v>CORRESPONDENCIA DEPARTAMENTOS FACULTAD</v>
      </c>
      <c r="J17" s="19" t="s">
        <v>64</v>
      </c>
      <c r="K17" s="20" t="s">
        <v>118</v>
      </c>
      <c r="L17" s="19" t="s">
        <v>68</v>
      </c>
      <c r="M17" s="19">
        <v>3</v>
      </c>
      <c r="N17" s="19">
        <v>208</v>
      </c>
      <c r="O17" s="19"/>
      <c r="P17" s="20" t="s">
        <v>234</v>
      </c>
      <c r="Q17" s="20" t="s">
        <v>235</v>
      </c>
      <c r="R17" s="19"/>
      <c r="S17" s="19"/>
      <c r="T17" s="19"/>
      <c r="U17" s="19"/>
      <c r="V17" s="19"/>
      <c r="W17" s="19"/>
      <c r="X17" s="19" t="s">
        <v>97</v>
      </c>
      <c r="Y17" s="19" t="s">
        <v>98</v>
      </c>
      <c r="Z17" s="19" t="s">
        <v>99</v>
      </c>
      <c r="AA17" s="19" t="s">
        <v>207</v>
      </c>
      <c r="AB17" s="19" t="s">
        <v>238</v>
      </c>
      <c r="AC17" s="19" t="s">
        <v>237</v>
      </c>
      <c r="AD17" s="19"/>
      <c r="AE17" s="19"/>
      <c r="AF17" s="19" t="s">
        <v>236</v>
      </c>
      <c r="AG17" s="19" t="s">
        <v>171</v>
      </c>
      <c r="AH17" s="19" t="str">
        <f>UPPER('[1]TRANSFERENCIA DOCUMENTAL'!$E$30)</f>
        <v>CARTAS, CORREOS, SOLICITUDES CONVERSION DE VACANTES, SOLICITUDES CONTRATACION TEMPORALES, LISTADOS PROFESORES EXCELENCIA DOCENTES, SOLICITUD APOYO CURSO INTERSEMESTRAL DEPARTAMENTO ARQUITECTURA, AUTORIZACION PARA CONSULTORIA SUBCENTRO DE SEGURIDAD,  SOLICITUDES DE AUTORIZACION PAGO DE HORAS CATEDRA, ENTRE OTROS.</v>
      </c>
      <c r="AI17" s="19">
        <v>16</v>
      </c>
      <c r="AJ17" s="19" t="s">
        <v>88</v>
      </c>
      <c r="AK17" s="19" t="s">
        <v>87</v>
      </c>
      <c r="AL17" s="19" t="s">
        <v>106</v>
      </c>
      <c r="AM17" s="19" t="s">
        <v>172</v>
      </c>
      <c r="AN17" s="19" t="s">
        <v>90</v>
      </c>
      <c r="AO17" s="19"/>
      <c r="AP17" s="19"/>
      <c r="AQ17" s="19"/>
      <c r="AR17" s="19"/>
      <c r="AS17" s="19"/>
      <c r="AT17" s="19"/>
      <c r="AU17" s="19" t="s">
        <v>51</v>
      </c>
    </row>
    <row r="18" spans="1:47" s="9" customFormat="1" ht="75" x14ac:dyDescent="0.2">
      <c r="A18" s="19"/>
      <c r="B18" s="19" t="s">
        <v>165</v>
      </c>
      <c r="C18" s="19" t="s">
        <v>56</v>
      </c>
      <c r="D18" s="19"/>
      <c r="E18" s="19" t="str">
        <f>UPPER('[1]TRANSFERENCIA DOCUMENTAL'!$B$27)</f>
        <v>CORRESPONDENCIA</v>
      </c>
      <c r="F18" s="19"/>
      <c r="G18" s="19" t="str">
        <f>UPPER('[1]TRANSFERENCIA DOCUMENTAL'!$C$27)</f>
        <v>CONSECUTIVO CARTAS</v>
      </c>
      <c r="H18" s="19"/>
      <c r="I18" s="19" t="str">
        <f>UPPER('[1]TRANSFERENCIA DOCUMENTAL'!$D$28)</f>
        <v>CORRESPONDENCIA DEPARTAMENTOS FACULTAD</v>
      </c>
      <c r="J18" s="19" t="s">
        <v>64</v>
      </c>
      <c r="K18" s="20" t="s">
        <v>202</v>
      </c>
      <c r="L18" s="19" t="s">
        <v>68</v>
      </c>
      <c r="M18" s="19">
        <v>4</v>
      </c>
      <c r="N18" s="19">
        <v>140</v>
      </c>
      <c r="O18" s="19"/>
      <c r="P18" s="20" t="s">
        <v>239</v>
      </c>
      <c r="Q18" s="20" t="s">
        <v>240</v>
      </c>
      <c r="R18" s="19"/>
      <c r="S18" s="19"/>
      <c r="T18" s="19"/>
      <c r="U18" s="19"/>
      <c r="V18" s="19"/>
      <c r="W18" s="19"/>
      <c r="X18" s="19" t="s">
        <v>97</v>
      </c>
      <c r="Y18" s="19" t="s">
        <v>98</v>
      </c>
      <c r="Z18" s="19" t="s">
        <v>99</v>
      </c>
      <c r="AA18" s="19" t="s">
        <v>207</v>
      </c>
      <c r="AB18" s="19" t="s">
        <v>238</v>
      </c>
      <c r="AC18" s="19" t="s">
        <v>242</v>
      </c>
      <c r="AD18" s="19"/>
      <c r="AE18" s="19"/>
      <c r="AF18" s="19" t="s">
        <v>241</v>
      </c>
      <c r="AG18" s="19" t="s">
        <v>171</v>
      </c>
      <c r="AH18" s="19" t="str">
        <f>UPPER('[1]TRANSFERENCIA DOCUMENTAL'!$E$31)</f>
        <v>CARTAS, CORREOS, SOLICITUDES DE AUTORIZACION PAGO DE HORAS CATEDRA, SOLICITUD Y AUTORIZACION PRORROGA O REACTIVACION DE VACANTES, SOLICITUD SUSCRIPCION BASES DE DATOS MRS, SOLICITUD CONVERSION DE VACANTES, INFORME CONTRATACION EXTEMPORANEA DE PROFESORES HORA CATEDRA, ENTRE OTROS</v>
      </c>
      <c r="AI18" s="19">
        <v>17</v>
      </c>
      <c r="AJ18" s="19" t="s">
        <v>88</v>
      </c>
      <c r="AK18" s="19" t="s">
        <v>87</v>
      </c>
      <c r="AL18" s="19" t="s">
        <v>106</v>
      </c>
      <c r="AM18" s="19" t="s">
        <v>172</v>
      </c>
      <c r="AN18" s="19" t="s">
        <v>90</v>
      </c>
      <c r="AO18" s="19"/>
      <c r="AP18" s="19"/>
      <c r="AQ18" s="19"/>
      <c r="AR18" s="19"/>
      <c r="AS18" s="19"/>
      <c r="AT18" s="19"/>
      <c r="AU18" s="19" t="s">
        <v>51</v>
      </c>
    </row>
    <row r="19" spans="1:47" s="9" customFormat="1" ht="106" customHeight="1" x14ac:dyDescent="0.2">
      <c r="A19" s="19"/>
      <c r="B19" s="19" t="s">
        <v>165</v>
      </c>
      <c r="C19" s="19" t="s">
        <v>56</v>
      </c>
      <c r="D19" s="19"/>
      <c r="E19" s="19" t="str">
        <f>UPPER('[1]TRANSFERENCIA DOCUMENTAL'!$B$27)</f>
        <v>CORRESPONDENCIA</v>
      </c>
      <c r="F19" s="19"/>
      <c r="G19" s="19" t="str">
        <f>UPPER('[1]TRANSFERENCIA DOCUMENTAL'!$C$27)</f>
        <v>CONSECUTIVO CARTAS</v>
      </c>
      <c r="H19" s="19"/>
      <c r="I19" s="19" t="str">
        <f>UPPER('[1]TRANSFERENCIA DOCUMENTAL'!$D$32)</f>
        <v>DIRECCION DE GESTION HUMANA</v>
      </c>
      <c r="J19" s="19" t="s">
        <v>64</v>
      </c>
      <c r="K19" s="20" t="s">
        <v>118</v>
      </c>
      <c r="L19" s="19" t="s">
        <v>68</v>
      </c>
      <c r="M19" s="19">
        <v>1</v>
      </c>
      <c r="N19" s="19">
        <v>191</v>
      </c>
      <c r="O19" s="19"/>
      <c r="P19" s="20" t="s">
        <v>243</v>
      </c>
      <c r="Q19" s="20" t="s">
        <v>244</v>
      </c>
      <c r="R19" s="19"/>
      <c r="S19" s="19"/>
      <c r="T19" s="19"/>
      <c r="U19" s="19"/>
      <c r="V19" s="19"/>
      <c r="W19" s="19"/>
      <c r="X19" s="19" t="s">
        <v>97</v>
      </c>
      <c r="Y19" s="19" t="s">
        <v>98</v>
      </c>
      <c r="Z19" s="19" t="s">
        <v>99</v>
      </c>
      <c r="AA19" s="19" t="s">
        <v>207</v>
      </c>
      <c r="AB19" s="19" t="s">
        <v>238</v>
      </c>
      <c r="AC19" s="19" t="s">
        <v>246</v>
      </c>
      <c r="AD19" s="19"/>
      <c r="AE19" s="19"/>
      <c r="AF19" s="19" t="s">
        <v>245</v>
      </c>
      <c r="AG19" s="19" t="s">
        <v>171</v>
      </c>
      <c r="AH19" s="19" t="str">
        <f>UPPER('[1]TRANSFERENCIA DOCUMENTAL'!$E$32)</f>
        <v>DEFINICION VIGENCIA DE CONTRATOS A TERMINO FIJO Y TEMPORALES, RATIFICACION VENCIMIENTO CONTRATOS, REMISIÓN LISTADOS FIRMADOS PRIMA EXTRALEGAL ESPECIAL PERSONAL PLANTA, LISTADOS DE VACACIONES, PLANES DE MEJORAMIENTO PERSONAL ADMINISTRATIVO, TERMINACION CONTRATOS, CURSO INMERSION PERSONAL ADMINISTRATIVO, ENTRE OTROS</v>
      </c>
      <c r="AI19" s="19">
        <v>18</v>
      </c>
      <c r="AJ19" s="19" t="s">
        <v>88</v>
      </c>
      <c r="AK19" s="19" t="s">
        <v>87</v>
      </c>
      <c r="AL19" s="19" t="s">
        <v>106</v>
      </c>
      <c r="AM19" s="19" t="s">
        <v>172</v>
      </c>
      <c r="AN19" s="19" t="s">
        <v>90</v>
      </c>
      <c r="AO19" s="19"/>
      <c r="AP19" s="19"/>
      <c r="AQ19" s="19"/>
      <c r="AR19" s="19"/>
      <c r="AS19" s="19"/>
      <c r="AT19" s="19"/>
      <c r="AU19" s="19" t="s">
        <v>51</v>
      </c>
    </row>
    <row r="20" spans="1:47" s="9" customFormat="1" ht="135" x14ac:dyDescent="0.2">
      <c r="A20" s="19"/>
      <c r="B20" s="19" t="s">
        <v>165</v>
      </c>
      <c r="C20" s="19" t="s">
        <v>56</v>
      </c>
      <c r="D20" s="19"/>
      <c r="E20" s="19" t="str">
        <f>UPPER('[1]TRANSFERENCIA DOCUMENTAL'!$B$27)</f>
        <v>CORRESPONDENCIA</v>
      </c>
      <c r="F20" s="19"/>
      <c r="G20" s="19" t="str">
        <f>UPPER('[1]TRANSFERENCIA DOCUMENTAL'!$C$27)</f>
        <v>CONSECUTIVO CARTAS</v>
      </c>
      <c r="H20" s="19"/>
      <c r="I20" s="19" t="str">
        <f>UPPER('[1]TRANSFERENCIA DOCUMENTAL'!$D$32)</f>
        <v>DIRECCION DE GESTION HUMANA</v>
      </c>
      <c r="J20" s="19" t="s">
        <v>64</v>
      </c>
      <c r="K20" s="20" t="s">
        <v>202</v>
      </c>
      <c r="L20" s="19" t="s">
        <v>68</v>
      </c>
      <c r="M20" s="19">
        <v>2</v>
      </c>
      <c r="N20" s="19">
        <v>126</v>
      </c>
      <c r="O20" s="19"/>
      <c r="P20" s="20" t="s">
        <v>247</v>
      </c>
      <c r="Q20" s="20" t="s">
        <v>248</v>
      </c>
      <c r="R20" s="19"/>
      <c r="S20" s="19"/>
      <c r="T20" s="19"/>
      <c r="U20" s="19"/>
      <c r="V20" s="19"/>
      <c r="W20" s="19"/>
      <c r="X20" s="19" t="s">
        <v>97</v>
      </c>
      <c r="Y20" s="19" t="s">
        <v>98</v>
      </c>
      <c r="Z20" s="19" t="s">
        <v>99</v>
      </c>
      <c r="AA20" s="19" t="s">
        <v>207</v>
      </c>
      <c r="AB20" s="19" t="s">
        <v>238</v>
      </c>
      <c r="AC20" s="19" t="s">
        <v>250</v>
      </c>
      <c r="AD20" s="19"/>
      <c r="AE20" s="19"/>
      <c r="AF20" s="19" t="s">
        <v>249</v>
      </c>
      <c r="AG20" s="19" t="s">
        <v>171</v>
      </c>
      <c r="AH20" s="19" t="str">
        <f>UPPER('[1]TRANSFERENCIA DOCUMENTAL'!$E$33)</f>
        <v>DEFINICION VIGENCIA DE CONTRATOS A TERMINO FIJO Y TEMPORALES, RATIFICACION VENCIMIENTO CONTRATOS, REMISION LISTADOS FIRMADOS PRIMA EXTRALEGAL ESPECIAL PERSONAL PLANTA, LISTADOS DE VACACIONES, TERMINACIÓN CONTRATOS, RESPUESTA APOYO ESTUDIOS DE MAESTRIA PERSONAL ADMINISTRATIVO, LLAMADOS DE ATENCION, SOLICITUD PARA APROBAR CARGO TEMPORAL AUXILIAR TALLER DE DISEÑO, PLANES DE MEJORAMIENTO PERSONAL ADMINISTRATIVO, SOLICITUD DE PERMISOS, LICENCIAS PERSONAL ADMINISTRATIVO, ENTRE OTROS</v>
      </c>
      <c r="AI20" s="19">
        <v>19</v>
      </c>
      <c r="AJ20" s="19" t="s">
        <v>88</v>
      </c>
      <c r="AK20" s="19" t="s">
        <v>87</v>
      </c>
      <c r="AL20" s="19" t="s">
        <v>106</v>
      </c>
      <c r="AM20" s="19" t="s">
        <v>172</v>
      </c>
      <c r="AN20" s="19" t="s">
        <v>90</v>
      </c>
      <c r="AO20" s="19"/>
      <c r="AP20" s="19"/>
      <c r="AQ20" s="19"/>
      <c r="AR20" s="19"/>
      <c r="AS20" s="19"/>
      <c r="AT20" s="19"/>
      <c r="AU20" s="19" t="s">
        <v>51</v>
      </c>
    </row>
    <row r="21" spans="1:47" s="9" customFormat="1" ht="150" x14ac:dyDescent="0.2">
      <c r="A21" s="19"/>
      <c r="B21" s="19" t="s">
        <v>165</v>
      </c>
      <c r="C21" s="19" t="s">
        <v>56</v>
      </c>
      <c r="D21" s="19"/>
      <c r="E21" s="19" t="str">
        <f>UPPER('[1]TRANSFERENCIA DOCUMENTAL'!$B$27)</f>
        <v>CORRESPONDENCIA</v>
      </c>
      <c r="F21" s="19"/>
      <c r="G21" s="19" t="str">
        <f>UPPER('[1]TRANSFERENCIA DOCUMENTAL'!$C$27)</f>
        <v>CONSECUTIVO CARTAS</v>
      </c>
      <c r="H21" s="19"/>
      <c r="I21" s="19" t="str">
        <f>UPPER('[1]TRANSFERENCIA DOCUMENTAL'!$D$34)</f>
        <v>CORRESPONDENCIA RECTORIA</v>
      </c>
      <c r="J21" s="19" t="s">
        <v>64</v>
      </c>
      <c r="K21" s="20" t="s">
        <v>202</v>
      </c>
      <c r="L21" s="19" t="s">
        <v>68</v>
      </c>
      <c r="M21" s="19">
        <v>1</v>
      </c>
      <c r="N21" s="19">
        <v>163</v>
      </c>
      <c r="O21" s="19"/>
      <c r="P21" s="20" t="s">
        <v>251</v>
      </c>
      <c r="Q21" s="20" t="s">
        <v>252</v>
      </c>
      <c r="R21" s="19"/>
      <c r="S21" s="19"/>
      <c r="T21" s="19"/>
      <c r="U21" s="19"/>
      <c r="V21" s="19"/>
      <c r="W21" s="19"/>
      <c r="X21" s="19" t="s">
        <v>97</v>
      </c>
      <c r="Y21" s="19" t="s">
        <v>98</v>
      </c>
      <c r="Z21" s="19" t="s">
        <v>99</v>
      </c>
      <c r="AA21" s="19" t="s">
        <v>207</v>
      </c>
      <c r="AB21" s="19" t="s">
        <v>238</v>
      </c>
      <c r="AC21" s="19" t="s">
        <v>254</v>
      </c>
      <c r="AD21" s="19"/>
      <c r="AE21" s="19"/>
      <c r="AF21" s="19" t="s">
        <v>253</v>
      </c>
      <c r="AG21" s="19" t="s">
        <v>171</v>
      </c>
      <c r="AH21" s="19" t="str">
        <f>UPPER('[1]TRANSFERENCIA DOCUMENTAL'!$E$34)</f>
        <v>CARTAS, CORREOS, CARTAS JORNADA DE REFLEXION UNIVERSITARIA, INVITACIONES, SOLICITUDES DE CONSULTORIAS EXTERNAS REMITIDAS POR EL RECTOR, CARTAS RECONOCIMIENTOS PRUEBAS SABER PRO, CORREOS REFORMA ESTATUTOS, CONSULTAR PARA SUGERIR DECANO ENCARGADO, CARTA AGRADECIMIENTO DECANO DEL MEDIO UNIVERSITARIO, PRESENTACION PROYECTOS CONVOCATORIA PROYECTOS DE PRESUPUESTO SOCIAL SAN FRANCISCO, CARTAS DE AGRADECIMIENTO, REFORMA ESTATUTUARIA 2013, QUEJA ESTUDIANTES  SOBRE INFRAESTRUCTURA Y TECNOLOGÍA FACULTAD, REACTIVACION VACANTE DE DISEÑO, ENTRE OTROS</v>
      </c>
      <c r="AI21" s="19">
        <v>20</v>
      </c>
      <c r="AJ21" s="19" t="s">
        <v>88</v>
      </c>
      <c r="AK21" s="19" t="s">
        <v>87</v>
      </c>
      <c r="AL21" s="19" t="s">
        <v>106</v>
      </c>
      <c r="AM21" s="19" t="s">
        <v>172</v>
      </c>
      <c r="AN21" s="19" t="s">
        <v>90</v>
      </c>
      <c r="AO21" s="19"/>
      <c r="AP21" s="19"/>
      <c r="AQ21" s="19"/>
      <c r="AR21" s="19"/>
      <c r="AS21" s="19"/>
      <c r="AT21" s="19"/>
      <c r="AU21" s="19" t="s">
        <v>51</v>
      </c>
    </row>
    <row r="22" spans="1:47" s="9" customFormat="1" ht="55" customHeight="1" x14ac:dyDescent="0.2">
      <c r="A22" s="19"/>
      <c r="B22" s="19" t="s">
        <v>165</v>
      </c>
      <c r="C22" s="19" t="s">
        <v>56</v>
      </c>
      <c r="D22" s="19"/>
      <c r="E22" s="19" t="str">
        <f>UPPER('[1]TRANSFERENCIA DOCUMENTAL'!$B$27)</f>
        <v>CORRESPONDENCIA</v>
      </c>
      <c r="F22" s="19"/>
      <c r="G22" s="19" t="str">
        <f>UPPER('[1]TRANSFERENCIA DOCUMENTAL'!$C$27)</f>
        <v>CONSECUTIVO CARTAS</v>
      </c>
      <c r="H22" s="19"/>
      <c r="I22" s="19" t="str">
        <f>UPPER('[1]TRANSFERENCIA DOCUMENTAL'!$D$35)</f>
        <v>CORRESPONDENCIA VICERRECTORIA ACADEMICA</v>
      </c>
      <c r="J22" s="19" t="s">
        <v>64</v>
      </c>
      <c r="K22" s="20" t="s">
        <v>202</v>
      </c>
      <c r="L22" s="19" t="s">
        <v>68</v>
      </c>
      <c r="M22" s="19">
        <v>1</v>
      </c>
      <c r="N22" s="19">
        <v>125</v>
      </c>
      <c r="O22" s="19"/>
      <c r="P22" s="20" t="s">
        <v>255</v>
      </c>
      <c r="Q22" s="20" t="s">
        <v>256</v>
      </c>
      <c r="R22" s="19"/>
      <c r="S22" s="19"/>
      <c r="T22" s="19"/>
      <c r="U22" s="19"/>
      <c r="V22" s="19"/>
      <c r="W22" s="19"/>
      <c r="X22" s="19" t="s">
        <v>97</v>
      </c>
      <c r="Y22" s="19" t="s">
        <v>98</v>
      </c>
      <c r="Z22" s="19" t="s">
        <v>99</v>
      </c>
      <c r="AA22" s="19" t="s">
        <v>207</v>
      </c>
      <c r="AB22" s="19" t="s">
        <v>238</v>
      </c>
      <c r="AC22" s="19" t="s">
        <v>258</v>
      </c>
      <c r="AD22" s="19"/>
      <c r="AE22" s="19"/>
      <c r="AF22" s="19" t="s">
        <v>257</v>
      </c>
      <c r="AG22" s="19" t="s">
        <v>171</v>
      </c>
      <c r="AH22" s="19" t="str">
        <f>UPPER('[1]TRANSFERENCIA DOCUMENTAL'!$E$35)</f>
        <v>CARTAS NOMBRAMIENTO DIRECTIVOS, INVITACIONES DESDE Y HACIA, PRESENTACION CANDIDATOS CARGOS DIRECTIVOS, APROBACION PLAZAS VACANTES PARA CARGOS DIRECTIVOS, INFORME VIAJES, SOLICITUD AUTORIZACION CURSO INTERNACIONAL EXPERIMENTAL HOUSING WORSHOP BOG-NY, REMISION DOCUMENTO REFORMULACION MAESTRÍA EN DISEÑO, CARTAS DE PRESENTACION CONVOCATORIA PROPUESTA DE NUEVOS PROGRAMAS ACADEMICOS, DISEÑO INTERACCION, RESOLUCION 11074 REGISTRO CALIFICADO CARRERA DE ARQUITECTURA POR 7 AÑOS, SOLICITUD PARAMETRIZACION DE ASIGNATURAS DISEÑO INDUSTRIAL, SOLICITUD CONVERSION VACANTES, AUTORIZACIÓN LEVANTAMIENTO PREREQUISITOS ARQUITECTURA, SUPRESIÓN MAESTRÍA EN PATRIMONIO CULTURAL, DOCUMENTO CREACIÓN POSGRADO MAESTRÍA EN DISEÑO, RESOLUCIÓN RENOVACIÓN ACREDITACIÓN ARQUITECTURA, ENTRE OTROS</v>
      </c>
      <c r="AI22" s="19">
        <v>21</v>
      </c>
      <c r="AJ22" s="19" t="s">
        <v>88</v>
      </c>
      <c r="AK22" s="19" t="s">
        <v>87</v>
      </c>
      <c r="AL22" s="19" t="s">
        <v>106</v>
      </c>
      <c r="AM22" s="19" t="s">
        <v>172</v>
      </c>
      <c r="AN22" s="19" t="s">
        <v>90</v>
      </c>
      <c r="AO22" s="19"/>
      <c r="AP22" s="19"/>
      <c r="AQ22" s="19"/>
      <c r="AR22" s="19"/>
      <c r="AS22" s="19"/>
      <c r="AT22" s="19"/>
      <c r="AU22" s="19" t="s">
        <v>51</v>
      </c>
    </row>
    <row r="23" spans="1:47" s="9" customFormat="1" ht="90" x14ac:dyDescent="0.2">
      <c r="A23" s="19"/>
      <c r="B23" s="19" t="s">
        <v>165</v>
      </c>
      <c r="C23" s="19" t="s">
        <v>56</v>
      </c>
      <c r="D23" s="19"/>
      <c r="E23" s="19" t="str">
        <f>UPPER('[1]TRANSFERENCIA DOCUMENTAL'!$B$27)</f>
        <v>CORRESPONDENCIA</v>
      </c>
      <c r="F23" s="19"/>
      <c r="G23" s="19" t="str">
        <f>UPPER('[1]TRANSFERENCIA DOCUMENTAL'!$C$27)</f>
        <v>CONSECUTIVO CARTAS</v>
      </c>
      <c r="H23" s="19"/>
      <c r="I23" s="19" t="str">
        <f>UPPER('[1]TRANSFERENCIA DOCUMENTAL'!$D$36)</f>
        <v>CORRESPONDENCIA VICERRECTORIA DE INVESTIGACION</v>
      </c>
      <c r="J23" s="19" t="s">
        <v>64</v>
      </c>
      <c r="K23" s="20" t="s">
        <v>202</v>
      </c>
      <c r="L23" s="19" t="s">
        <v>68</v>
      </c>
      <c r="M23" s="19">
        <v>1</v>
      </c>
      <c r="N23" s="19">
        <v>76</v>
      </c>
      <c r="O23" s="19"/>
      <c r="P23" s="20" t="s">
        <v>259</v>
      </c>
      <c r="Q23" s="20" t="s">
        <v>260</v>
      </c>
      <c r="R23" s="19"/>
      <c r="S23" s="19"/>
      <c r="T23" s="19"/>
      <c r="U23" s="19"/>
      <c r="V23" s="19"/>
      <c r="W23" s="19"/>
      <c r="X23" s="19" t="s">
        <v>97</v>
      </c>
      <c r="Y23" s="19" t="s">
        <v>98</v>
      </c>
      <c r="Z23" s="19" t="s">
        <v>99</v>
      </c>
      <c r="AA23" s="19" t="s">
        <v>207</v>
      </c>
      <c r="AB23" s="19" t="s">
        <v>238</v>
      </c>
      <c r="AC23" s="19" t="s">
        <v>262</v>
      </c>
      <c r="AD23" s="19"/>
      <c r="AE23" s="19"/>
      <c r="AF23" s="19" t="s">
        <v>261</v>
      </c>
      <c r="AG23" s="19" t="s">
        <v>171</v>
      </c>
      <c r="AH23" s="19" t="str">
        <f>UPPER('[1]TRANSFERENCIA DOCUMENTAL'!$E$36)</f>
        <v>DOCUMENTOS CREACION SEMILLEROS DE INVESTIGACION, CARTAS DE AVAL PARTICIPACION PROFESORES EN PROYECTOS DE OTRAS FACULTADES, PRORROGAS PARA TERMINACION DE PROYECTOS, REVISIÓN DOCUMENTO POLÍTICA DE INVESTIGACIÓN, INNOVACIÓN Y CREACIÓN ARTÍSTICA UNIVERSIDAD, CARTAS, INVITACIONES, ENTRE OTROS.</v>
      </c>
      <c r="AI23" s="19">
        <v>22</v>
      </c>
      <c r="AJ23" s="19" t="s">
        <v>88</v>
      </c>
      <c r="AK23" s="19" t="s">
        <v>87</v>
      </c>
      <c r="AL23" s="19" t="s">
        <v>106</v>
      </c>
      <c r="AM23" s="19" t="s">
        <v>172</v>
      </c>
      <c r="AN23" s="19" t="s">
        <v>90</v>
      </c>
      <c r="AO23" s="19"/>
      <c r="AP23" s="19"/>
      <c r="AQ23" s="19"/>
      <c r="AR23" s="19"/>
      <c r="AS23" s="19"/>
      <c r="AT23" s="19"/>
      <c r="AU23" s="19" t="s">
        <v>51</v>
      </c>
    </row>
    <row r="24" spans="1:47" s="9" customFormat="1" ht="90" x14ac:dyDescent="0.2">
      <c r="A24" s="19"/>
      <c r="B24" s="19" t="s">
        <v>165</v>
      </c>
      <c r="C24" s="19" t="s">
        <v>56</v>
      </c>
      <c r="D24" s="19"/>
      <c r="E24" s="19" t="str">
        <f>UPPER('[1]TRANSFERENCIA DOCUMENTAL'!$B$27)</f>
        <v>CORRESPONDENCIA</v>
      </c>
      <c r="F24" s="19"/>
      <c r="G24" s="19" t="str">
        <f>UPPER('[1]TRANSFERENCIA DOCUMENTAL'!$C$27)</f>
        <v>CONSECUTIVO CARTAS</v>
      </c>
      <c r="H24" s="19"/>
      <c r="I24" s="19" t="str">
        <f>UPPER('[1]TRANSFERENCIA DOCUMENTAL'!$D$37)</f>
        <v>CORRESPONDENCIA VICERRECTORÍA DE EXTENSIÓN Y RELACIONES INTERINSTITUCIONALES</v>
      </c>
      <c r="J24" s="19" t="s">
        <v>64</v>
      </c>
      <c r="K24" s="20" t="s">
        <v>202</v>
      </c>
      <c r="L24" s="19" t="s">
        <v>68</v>
      </c>
      <c r="M24" s="19">
        <v>1</v>
      </c>
      <c r="N24" s="19">
        <v>116</v>
      </c>
      <c r="O24" s="19"/>
      <c r="P24" s="20" t="s">
        <v>263</v>
      </c>
      <c r="Q24" s="20" t="s">
        <v>264</v>
      </c>
      <c r="R24" s="19"/>
      <c r="S24" s="19"/>
      <c r="T24" s="19"/>
      <c r="U24" s="19"/>
      <c r="V24" s="19"/>
      <c r="W24" s="19"/>
      <c r="X24" s="19" t="s">
        <v>97</v>
      </c>
      <c r="Y24" s="19" t="s">
        <v>98</v>
      </c>
      <c r="Z24" s="19" t="s">
        <v>99</v>
      </c>
      <c r="AA24" s="19" t="s">
        <v>207</v>
      </c>
      <c r="AB24" s="19" t="s">
        <v>238</v>
      </c>
      <c r="AC24" s="19" t="s">
        <v>266</v>
      </c>
      <c r="AD24" s="19"/>
      <c r="AE24" s="19"/>
      <c r="AF24" s="19" t="s">
        <v>265</v>
      </c>
      <c r="AG24" s="19" t="s">
        <v>171</v>
      </c>
      <c r="AH24" s="19" t="str">
        <f>UPPER('[1]TRANSFERENCIA DOCUMENTAL'!$E$37)</f>
        <v>COMUNICADOS ELECCIÓN MIEMBROS AL CONSEJO, CARTAS ESTUDIANTES QUE REALIZAN PRÁCTICAS INTERNACIONALES, BOLETINES VERI, CORREOS, AVAL DIPLAMADOS, ESTUDIANTES PARA PARTICIPAR EN CONVENIO DE DOBLE TITULACIÓN CON EL POLITECNICO DE TORINO, ADICIONES PRESUPUESTAL, INVITACIONES, PRESENTACION ESTUDIANTES CURSOS INTERSMESTRAL PARA VISADO SCHENGEN, ENTRE OTROS.</v>
      </c>
      <c r="AI24" s="19">
        <v>23</v>
      </c>
      <c r="AJ24" s="19" t="s">
        <v>88</v>
      </c>
      <c r="AK24" s="19" t="s">
        <v>87</v>
      </c>
      <c r="AL24" s="19" t="s">
        <v>106</v>
      </c>
      <c r="AM24" s="19" t="s">
        <v>172</v>
      </c>
      <c r="AN24" s="19" t="s">
        <v>90</v>
      </c>
      <c r="AO24" s="19"/>
      <c r="AP24" s="19"/>
      <c r="AQ24" s="19"/>
      <c r="AR24" s="19"/>
      <c r="AS24" s="19"/>
      <c r="AT24" s="19"/>
      <c r="AU24" s="19" t="s">
        <v>51</v>
      </c>
    </row>
    <row r="25" spans="1:47" s="9" customFormat="1" ht="75" x14ac:dyDescent="0.2">
      <c r="A25" s="19"/>
      <c r="B25" s="19" t="s">
        <v>165</v>
      </c>
      <c r="C25" s="19" t="s">
        <v>56</v>
      </c>
      <c r="D25" s="19"/>
      <c r="E25" s="19" t="str">
        <f>UPPER('[1]TRANSFERENCIA DOCUMENTAL'!$B$27)</f>
        <v>CORRESPONDENCIA</v>
      </c>
      <c r="F25" s="19"/>
      <c r="G25" s="19" t="str">
        <f>UPPER('[1]TRANSFERENCIA DOCUMENTAL'!$C$27)</f>
        <v>CONSECUTIVO CARTAS</v>
      </c>
      <c r="H25" s="19"/>
      <c r="I25" s="19" t="str">
        <f>UPPER('[1]TRANSFERENCIA DOCUMENTAL'!$D$38)</f>
        <v>PROGRAMAS DE PREGRADO</v>
      </c>
      <c r="J25" s="19" t="s">
        <v>64</v>
      </c>
      <c r="K25" s="20" t="s">
        <v>95</v>
      </c>
      <c r="L25" s="19" t="s">
        <v>68</v>
      </c>
      <c r="M25" s="19">
        <v>1</v>
      </c>
      <c r="N25" s="19">
        <v>100</v>
      </c>
      <c r="O25" s="19"/>
      <c r="P25" s="20" t="s">
        <v>267</v>
      </c>
      <c r="Q25" s="20" t="s">
        <v>268</v>
      </c>
      <c r="R25" s="19"/>
      <c r="S25" s="19"/>
      <c r="T25" s="19"/>
      <c r="U25" s="19"/>
      <c r="V25" s="19"/>
      <c r="W25" s="19"/>
      <c r="X25" s="19" t="s">
        <v>97</v>
      </c>
      <c r="Y25" s="19" t="s">
        <v>98</v>
      </c>
      <c r="Z25" s="19" t="s">
        <v>99</v>
      </c>
      <c r="AA25" s="19" t="s">
        <v>207</v>
      </c>
      <c r="AB25" s="19" t="s">
        <v>238</v>
      </c>
      <c r="AC25" s="19" t="s">
        <v>270</v>
      </c>
      <c r="AD25" s="19"/>
      <c r="AE25" s="19"/>
      <c r="AF25" s="19" t="s">
        <v>269</v>
      </c>
      <c r="AG25" s="19" t="s">
        <v>171</v>
      </c>
      <c r="AH25" s="19" t="str">
        <f>UPPER('[1]TRANSFERENCIA DOCUMENTAL'!$E$38)</f>
        <v>CARTAS DE SOLICITUD DE TRASLADO ENTRE PROGRAMAS, REPORTE POSIBLE PLAGIO EN EL CURSO INVESTIGACIÓN DE PRUEBAS DE PRODUCTO, CAROLINA DAZA, ENTREGA DOCUMENTOS PARA LA ACREDITACIÓN DE LA CARREA DE ARQUITECTURA ANTE EL CNA, ENTRE OTROS.</v>
      </c>
      <c r="AI25" s="19">
        <v>24</v>
      </c>
      <c r="AJ25" s="19" t="s">
        <v>88</v>
      </c>
      <c r="AK25" s="19" t="s">
        <v>87</v>
      </c>
      <c r="AL25" s="19" t="s">
        <v>106</v>
      </c>
      <c r="AM25" s="19" t="s">
        <v>172</v>
      </c>
      <c r="AN25" s="19" t="s">
        <v>90</v>
      </c>
      <c r="AO25" s="19"/>
      <c r="AP25" s="19"/>
      <c r="AQ25" s="19"/>
      <c r="AR25" s="19"/>
      <c r="AS25" s="19"/>
      <c r="AT25" s="19"/>
      <c r="AU25" s="19" t="s">
        <v>51</v>
      </c>
    </row>
    <row r="26" spans="1:47" s="9" customFormat="1" ht="120" x14ac:dyDescent="0.2">
      <c r="A26" s="19"/>
      <c r="B26" s="19" t="s">
        <v>165</v>
      </c>
      <c r="C26" s="19" t="s">
        <v>56</v>
      </c>
      <c r="D26" s="19"/>
      <c r="E26" s="19" t="str">
        <f>UPPER('[1]TRANSFERENCIA DOCUMENTAL'!$B$27)</f>
        <v>CORRESPONDENCIA</v>
      </c>
      <c r="F26" s="19"/>
      <c r="G26" s="19" t="str">
        <f>UPPER('[1]TRANSFERENCIA DOCUMENTAL'!$C$27)</f>
        <v>CONSECUTIVO CARTAS</v>
      </c>
      <c r="H26" s="19"/>
      <c r="I26" s="19" t="str">
        <f>UPPER('[1]TRANSFERENCIA DOCUMENTAL'!$D$38)</f>
        <v>PROGRAMAS DE PREGRADO</v>
      </c>
      <c r="J26" s="19" t="s">
        <v>64</v>
      </c>
      <c r="K26" s="20" t="s">
        <v>202</v>
      </c>
      <c r="L26" s="19" t="s">
        <v>68</v>
      </c>
      <c r="M26" s="19">
        <v>2</v>
      </c>
      <c r="N26" s="19">
        <v>141</v>
      </c>
      <c r="O26" s="19"/>
      <c r="P26" s="20" t="s">
        <v>255</v>
      </c>
      <c r="Q26" s="20" t="s">
        <v>271</v>
      </c>
      <c r="R26" s="19"/>
      <c r="S26" s="19"/>
      <c r="T26" s="19"/>
      <c r="U26" s="19"/>
      <c r="V26" s="19"/>
      <c r="W26" s="19"/>
      <c r="X26" s="19" t="s">
        <v>97</v>
      </c>
      <c r="Y26" s="19" t="s">
        <v>98</v>
      </c>
      <c r="Z26" s="19" t="s">
        <v>99</v>
      </c>
      <c r="AA26" s="19" t="s">
        <v>207</v>
      </c>
      <c r="AB26" s="19" t="s">
        <v>274</v>
      </c>
      <c r="AC26" s="19" t="s">
        <v>273</v>
      </c>
      <c r="AD26" s="19"/>
      <c r="AE26" s="19"/>
      <c r="AF26" s="19" t="s">
        <v>272</v>
      </c>
      <c r="AG26" s="19" t="s">
        <v>171</v>
      </c>
      <c r="AH26" s="19" t="str">
        <f>UPPER('[1]TRANSFERENCIA DOCUMENTAL'!$E$39)</f>
        <v>DOCUMENTOS CONCURSO OTTO DE GREIFF, INFORME DE ADMISIONES, RESEVAS DE CUPO, DOCUMENTO GUÍA PARA EL DESARRO DE LAS PRACTICAS PREPROFESIONALES, PROPUESTA CREACIÓN PREGRADO EN DISEÑO DE COMUNICACIÓN VISUAL, EVALUACIÓN PROYECTOS PARA MENCIÓN DE HONOR, LEVANTAMIENTO DE PREREQUISITO DE IDIOMA, RETIRO ASOCIACIÓN RED ACADEMICA DE DISEÑO, DESIGNACIÓN CIELO QUIÑONES PARA CONVOCATORIA ELECCIÓN PROGRAMAS DE DISEÑO DEL PAÍS, ENTRE OTROS.</v>
      </c>
      <c r="AI26" s="19">
        <v>25</v>
      </c>
      <c r="AJ26" s="19" t="s">
        <v>88</v>
      </c>
      <c r="AK26" s="19" t="s">
        <v>87</v>
      </c>
      <c r="AL26" s="19" t="s">
        <v>106</v>
      </c>
      <c r="AM26" s="19" t="s">
        <v>172</v>
      </c>
      <c r="AN26" s="19" t="s">
        <v>90</v>
      </c>
      <c r="AO26" s="19"/>
      <c r="AP26" s="19"/>
      <c r="AQ26" s="19"/>
      <c r="AR26" s="19"/>
      <c r="AS26" s="19"/>
      <c r="AT26" s="19"/>
      <c r="AU26" s="19" t="s">
        <v>51</v>
      </c>
    </row>
    <row r="27" spans="1:47" s="9" customFormat="1" ht="45" x14ac:dyDescent="0.2">
      <c r="A27" s="19"/>
      <c r="B27" s="19" t="s">
        <v>165</v>
      </c>
      <c r="C27" s="19" t="s">
        <v>56</v>
      </c>
      <c r="D27" s="19"/>
      <c r="E27" s="19" t="str">
        <f>UPPER('[1]TRANSFERENCIA DOCUMENTAL'!$B$27)</f>
        <v>CORRESPONDENCIA</v>
      </c>
      <c r="F27" s="19"/>
      <c r="G27" s="19" t="str">
        <f>UPPER('[1]TRANSFERENCIA DOCUMENTAL'!$C$27)</f>
        <v>CONSECUTIVO CARTAS</v>
      </c>
      <c r="H27" s="19"/>
      <c r="I27" s="19" t="str">
        <f>UPPER('[1]TRANSFERENCIA DOCUMENTAL'!$D$40)</f>
        <v>PUBLICACIONES FACULTAD</v>
      </c>
      <c r="J27" s="19" t="s">
        <v>64</v>
      </c>
      <c r="K27" s="20" t="s">
        <v>95</v>
      </c>
      <c r="L27" s="19" t="s">
        <v>68</v>
      </c>
      <c r="M27" s="19">
        <v>1</v>
      </c>
      <c r="N27" s="19">
        <v>127</v>
      </c>
      <c r="O27" s="19"/>
      <c r="P27" s="20" t="s">
        <v>275</v>
      </c>
      <c r="Q27" s="20" t="s">
        <v>276</v>
      </c>
      <c r="R27" s="19"/>
      <c r="S27" s="19"/>
      <c r="T27" s="19"/>
      <c r="U27" s="19"/>
      <c r="V27" s="19"/>
      <c r="W27" s="19"/>
      <c r="X27" s="19" t="s">
        <v>97</v>
      </c>
      <c r="Y27" s="19" t="s">
        <v>98</v>
      </c>
      <c r="Z27" s="19" t="s">
        <v>99</v>
      </c>
      <c r="AA27" s="19" t="s">
        <v>207</v>
      </c>
      <c r="AB27" s="19" t="s">
        <v>274</v>
      </c>
      <c r="AC27" s="19" t="s">
        <v>278</v>
      </c>
      <c r="AD27" s="19"/>
      <c r="AE27" s="19"/>
      <c r="AF27" s="19" t="s">
        <v>277</v>
      </c>
      <c r="AG27" s="19" t="s">
        <v>171</v>
      </c>
      <c r="AH27" s="19" t="str">
        <f>UPPER('[1]TRANSFERENCIA DOCUMENTAL'!$E$40)</f>
        <v>CARTAS DE ENTREGA Y RECPECIÓN DE PUBLICACIONES, INVITACIONES, CORREOS ELECTRÓNICOS, ENTRE OTROS</v>
      </c>
      <c r="AI27" s="19">
        <v>26</v>
      </c>
      <c r="AJ27" s="19" t="s">
        <v>88</v>
      </c>
      <c r="AK27" s="19" t="s">
        <v>87</v>
      </c>
      <c r="AL27" s="19" t="s">
        <v>106</v>
      </c>
      <c r="AM27" s="19" t="s">
        <v>172</v>
      </c>
      <c r="AN27" s="19" t="s">
        <v>90</v>
      </c>
      <c r="AO27" s="19"/>
      <c r="AP27" s="19"/>
      <c r="AQ27" s="19"/>
      <c r="AR27" s="19"/>
      <c r="AS27" s="19"/>
      <c r="AT27" s="19"/>
      <c r="AU27" s="19" t="s">
        <v>51</v>
      </c>
    </row>
    <row r="28" spans="1:47" s="9" customFormat="1" ht="60" x14ac:dyDescent="0.2">
      <c r="A28" s="19"/>
      <c r="B28" s="19" t="s">
        <v>165</v>
      </c>
      <c r="C28" s="19" t="s">
        <v>56</v>
      </c>
      <c r="D28" s="19"/>
      <c r="E28" s="19" t="str">
        <f>UPPER('[1]TRANSFERENCIA DOCUMENTAL'!$B$27)</f>
        <v>CORRESPONDENCIA</v>
      </c>
      <c r="F28" s="19"/>
      <c r="G28" s="19" t="str">
        <f>UPPER('[1]TRANSFERENCIA DOCUMENTAL'!$C$27)</f>
        <v>CONSECUTIVO CARTAS</v>
      </c>
      <c r="H28" s="19"/>
      <c r="I28" s="19" t="str">
        <f>UPPER('[1]TRANSFERENCIA DOCUMENTAL'!$D$41)</f>
        <v>CORRESPONDENCIA INTERNA OTRAS DEPENDENCIAS DE LA UNIVERSIDAD</v>
      </c>
      <c r="J28" s="19" t="s">
        <v>64</v>
      </c>
      <c r="K28" s="20" t="s">
        <v>202</v>
      </c>
      <c r="L28" s="19" t="s">
        <v>68</v>
      </c>
      <c r="M28" s="19">
        <v>1</v>
      </c>
      <c r="N28" s="19">
        <v>144</v>
      </c>
      <c r="O28" s="19"/>
      <c r="P28" s="20" t="s">
        <v>279</v>
      </c>
      <c r="Q28" s="20" t="s">
        <v>280</v>
      </c>
      <c r="R28" s="19"/>
      <c r="S28" s="19"/>
      <c r="T28" s="19"/>
      <c r="U28" s="19"/>
      <c r="V28" s="19"/>
      <c r="W28" s="19"/>
      <c r="X28" s="19" t="s">
        <v>97</v>
      </c>
      <c r="Y28" s="19" t="s">
        <v>98</v>
      </c>
      <c r="Z28" s="19" t="s">
        <v>99</v>
      </c>
      <c r="AA28" s="19" t="s">
        <v>207</v>
      </c>
      <c r="AB28" s="19" t="s">
        <v>274</v>
      </c>
      <c r="AC28" s="19" t="s">
        <v>282</v>
      </c>
      <c r="AD28" s="19"/>
      <c r="AE28" s="19"/>
      <c r="AF28" s="19" t="s">
        <v>281</v>
      </c>
      <c r="AG28" s="19" t="s">
        <v>171</v>
      </c>
      <c r="AH28" s="19" t="str">
        <f>UPPER('[1]TRANSFERENCIA DOCUMENTAL'!$E$41)</f>
        <v xml:space="preserve">CARTAS, CORREOS ELECTRÓNICOS, SOLICITUDES VARIAS, INVITACIONES, PRESENTACIÓN DE INFORMES, INFORMES DE OBRAS OFICINA DE CONSTRUCCIONES, INFORME EJECUCIÓN PRESUPUESTAL BIBLIOTECA, ENTRE OTROS. </v>
      </c>
      <c r="AI28" s="19">
        <v>27</v>
      </c>
      <c r="AJ28" s="19" t="s">
        <v>88</v>
      </c>
      <c r="AK28" s="19" t="s">
        <v>87</v>
      </c>
      <c r="AL28" s="19" t="s">
        <v>106</v>
      </c>
      <c r="AM28" s="19" t="s">
        <v>172</v>
      </c>
      <c r="AN28" s="19" t="s">
        <v>90</v>
      </c>
      <c r="AO28" s="19"/>
      <c r="AP28" s="19"/>
      <c r="AQ28" s="19"/>
      <c r="AR28" s="19"/>
      <c r="AS28" s="19"/>
      <c r="AT28" s="19"/>
      <c r="AU28" s="19" t="s">
        <v>51</v>
      </c>
    </row>
    <row r="29" spans="1:47" s="9" customFormat="1" ht="90" x14ac:dyDescent="0.2">
      <c r="A29" s="19"/>
      <c r="B29" s="19" t="s">
        <v>165</v>
      </c>
      <c r="C29" s="19" t="s">
        <v>56</v>
      </c>
      <c r="D29" s="19"/>
      <c r="E29" s="19" t="str">
        <f>UPPER('[1]TRANSFERENCIA DOCUMENTAL'!$B$27)</f>
        <v>CORRESPONDENCIA</v>
      </c>
      <c r="F29" s="19"/>
      <c r="G29" s="19" t="str">
        <f>UPPER('[1]TRANSFERENCIA DOCUMENTAL'!$C$27)</f>
        <v>CONSECUTIVO CARTAS</v>
      </c>
      <c r="H29" s="19"/>
      <c r="I29" s="19" t="str">
        <f>UPPER('[1]TRANSFERENCIA DOCUMENTAL'!$D$42)</f>
        <v>DECANATURA Y SECRETARÍA DE FACULTAD</v>
      </c>
      <c r="J29" s="19" t="s">
        <v>64</v>
      </c>
      <c r="K29" s="20" t="s">
        <v>202</v>
      </c>
      <c r="L29" s="19" t="s">
        <v>68</v>
      </c>
      <c r="M29" s="19">
        <v>1</v>
      </c>
      <c r="N29" s="19">
        <v>168</v>
      </c>
      <c r="O29" s="19"/>
      <c r="P29" s="20" t="s">
        <v>283</v>
      </c>
      <c r="Q29" s="20" t="s">
        <v>284</v>
      </c>
      <c r="R29" s="19"/>
      <c r="S29" s="19"/>
      <c r="T29" s="19"/>
      <c r="U29" s="19"/>
      <c r="V29" s="19"/>
      <c r="W29" s="19"/>
      <c r="X29" s="19" t="s">
        <v>97</v>
      </c>
      <c r="Y29" s="19" t="s">
        <v>98</v>
      </c>
      <c r="Z29" s="19" t="s">
        <v>99</v>
      </c>
      <c r="AA29" s="19" t="s">
        <v>207</v>
      </c>
      <c r="AB29" s="19" t="s">
        <v>274</v>
      </c>
      <c r="AC29" s="19" t="s">
        <v>286</v>
      </c>
      <c r="AD29" s="19"/>
      <c r="AE29" s="19"/>
      <c r="AF29" s="19" t="s">
        <v>285</v>
      </c>
      <c r="AG29" s="19" t="s">
        <v>171</v>
      </c>
      <c r="AH29" s="19" t="str">
        <f>UPPER('[1]TRANSFERENCIA DOCUMENTAL'!$E$42)</f>
        <v xml:space="preserve">CARTAS, CORREOS, SOLICITUD SERVICIOS DE REMODELACIÓN, PROCESOS DE EVALUACIÓN DIRECTIVOS, ENTREGA CARGO DECANO ACADÉMICO, DOCUMENTOS PROYECTO CAPILLA HUSI,. CARTAS NOMBRAMIENTOS MIEMBROS DEL CONSEJO, COMUNICADOS A LA PLANTA, CARTA CONVOCATORIA ELECCIÓN MIEMBROS DEL CONSEJO, SOLICITUDES PERSONAL ADMINISTRATIVO, PERMISOS, ENTRE OTROS. </v>
      </c>
      <c r="AI29" s="19">
        <v>28</v>
      </c>
      <c r="AJ29" s="19" t="s">
        <v>88</v>
      </c>
      <c r="AK29" s="19" t="s">
        <v>87</v>
      </c>
      <c r="AL29" s="19" t="s">
        <v>106</v>
      </c>
      <c r="AM29" s="19" t="s">
        <v>172</v>
      </c>
      <c r="AN29" s="19" t="s">
        <v>90</v>
      </c>
      <c r="AO29" s="19"/>
      <c r="AP29" s="19"/>
      <c r="AQ29" s="19"/>
      <c r="AR29" s="19"/>
      <c r="AS29" s="19"/>
      <c r="AT29" s="19"/>
      <c r="AU29" s="19" t="s">
        <v>51</v>
      </c>
    </row>
    <row r="30" spans="1:47" s="9" customFormat="1" ht="60" x14ac:dyDescent="0.2">
      <c r="A30" s="19"/>
      <c r="B30" s="19" t="s">
        <v>165</v>
      </c>
      <c r="C30" s="19" t="s">
        <v>56</v>
      </c>
      <c r="D30" s="19"/>
      <c r="E30" s="19" t="str">
        <f>UPPER('[1]TRANSFERENCIA DOCUMENTAL'!$B$27)</f>
        <v>CORRESPONDENCIA</v>
      </c>
      <c r="F30" s="19"/>
      <c r="G30" s="19" t="str">
        <f>UPPER('[1]TRANSFERENCIA DOCUMENTAL'!$C$27)</f>
        <v>CONSECUTIVO CARTAS</v>
      </c>
      <c r="H30" s="19"/>
      <c r="I30" s="19" t="str">
        <f>UPPER('[1]TRANSFERENCIA DOCUMENTAL'!$D$43)</f>
        <v>INSTITUTOS FACULTAD</v>
      </c>
      <c r="J30" s="19" t="s">
        <v>64</v>
      </c>
      <c r="K30" s="20" t="s">
        <v>202</v>
      </c>
      <c r="L30" s="19" t="s">
        <v>68</v>
      </c>
      <c r="M30" s="19">
        <v>1</v>
      </c>
      <c r="N30" s="19">
        <v>104</v>
      </c>
      <c r="O30" s="19"/>
      <c r="P30" s="20" t="s">
        <v>287</v>
      </c>
      <c r="Q30" s="20" t="s">
        <v>288</v>
      </c>
      <c r="R30" s="19"/>
      <c r="S30" s="19"/>
      <c r="T30" s="19"/>
      <c r="U30" s="19"/>
      <c r="V30" s="19"/>
      <c r="W30" s="19"/>
      <c r="X30" s="19" t="s">
        <v>97</v>
      </c>
      <c r="Y30" s="19" t="s">
        <v>98</v>
      </c>
      <c r="Z30" s="19" t="s">
        <v>99</v>
      </c>
      <c r="AA30" s="19" t="s">
        <v>207</v>
      </c>
      <c r="AB30" s="19" t="s">
        <v>274</v>
      </c>
      <c r="AC30" s="19" t="s">
        <v>290</v>
      </c>
      <c r="AD30" s="19"/>
      <c r="AE30" s="19"/>
      <c r="AF30" s="19" t="s">
        <v>289</v>
      </c>
      <c r="AG30" s="19" t="s">
        <v>171</v>
      </c>
      <c r="AH30" s="19" t="str">
        <f>UPPER('[1]TRANSFERENCIA DOCUMENTAL'!$E$43)</f>
        <v>CARTAS, CORREOS ELECTRÓNICOS, PROPUESTA CONTINUIDAD INJAVIU, OBSERVACIONES DOCUMENTO RE ORGANIZACIÓN DE LOS INSTITUTOS Y CENTROS DE INVESTIGACIÓN, CARTAS DE INTERES PROYECTOS, INVITACIONES PARTICIPACIÓN EN PROYECTOS, ENTRE OTROS.</v>
      </c>
      <c r="AI30" s="19">
        <v>29</v>
      </c>
      <c r="AJ30" s="19" t="s">
        <v>88</v>
      </c>
      <c r="AK30" s="19" t="s">
        <v>87</v>
      </c>
      <c r="AL30" s="19" t="s">
        <v>106</v>
      </c>
      <c r="AM30" s="19" t="s">
        <v>172</v>
      </c>
      <c r="AN30" s="19" t="s">
        <v>90</v>
      </c>
      <c r="AO30" s="19"/>
      <c r="AP30" s="19"/>
      <c r="AQ30" s="19"/>
      <c r="AR30" s="19"/>
      <c r="AS30" s="19"/>
      <c r="AT30" s="19"/>
      <c r="AU30" s="19" t="s">
        <v>51</v>
      </c>
    </row>
    <row r="31" spans="1:47" s="9" customFormat="1" ht="45" x14ac:dyDescent="0.2">
      <c r="A31" s="19"/>
      <c r="B31" s="19" t="s">
        <v>165</v>
      </c>
      <c r="C31" s="19" t="s">
        <v>56</v>
      </c>
      <c r="D31" s="19"/>
      <c r="E31" s="19" t="str">
        <f>UPPER('[1]TRANSFERENCIA DOCUMENTAL'!$B$27)</f>
        <v>CORRESPONDENCIA</v>
      </c>
      <c r="F31" s="19"/>
      <c r="G31" s="19" t="str">
        <f>UPPER('[1]TRANSFERENCIA DOCUMENTAL'!$C$27)</f>
        <v>CONSECUTIVO CARTAS</v>
      </c>
      <c r="H31" s="19"/>
      <c r="I31" s="19" t="str">
        <f>UPPER('[1]TRANSFERENCIA DOCUMENTAL'!$D$44)</f>
        <v>PROGRAMA DE EDUCACIÓN CONTINÚA</v>
      </c>
      <c r="J31" s="19" t="s">
        <v>64</v>
      </c>
      <c r="K31" s="20" t="s">
        <v>95</v>
      </c>
      <c r="L31" s="19" t="s">
        <v>68</v>
      </c>
      <c r="M31" s="19">
        <v>1</v>
      </c>
      <c r="N31" s="19">
        <v>14</v>
      </c>
      <c r="O31" s="19"/>
      <c r="P31" s="20" t="s">
        <v>291</v>
      </c>
      <c r="Q31" s="20" t="s">
        <v>292</v>
      </c>
      <c r="R31" s="19"/>
      <c r="S31" s="19"/>
      <c r="T31" s="19"/>
      <c r="U31" s="19"/>
      <c r="V31" s="19"/>
      <c r="W31" s="19"/>
      <c r="X31" s="19" t="s">
        <v>97</v>
      </c>
      <c r="Y31" s="19" t="s">
        <v>98</v>
      </c>
      <c r="Z31" s="19" t="s">
        <v>99</v>
      </c>
      <c r="AA31" s="19" t="s">
        <v>207</v>
      </c>
      <c r="AB31" s="19" t="s">
        <v>274</v>
      </c>
      <c r="AC31" s="19" t="s">
        <v>294</v>
      </c>
      <c r="AD31" s="19"/>
      <c r="AE31" s="19"/>
      <c r="AF31" s="19" t="s">
        <v>293</v>
      </c>
      <c r="AG31" s="19" t="s">
        <v>171</v>
      </c>
      <c r="AH31" s="19" t="str">
        <f>UPPER('[1]TRANSFERENCIA DOCUMENTAL'!$E$44)</f>
        <v xml:space="preserve">PROPUESTA DE CURSOS, DIPLOMADOS, PROGRAMACIÓN EDUCACIÓN CONTINÚA, CORREOS ELECTRÓNICOS, MEMORANDOS, ENTRE OTROS. </v>
      </c>
      <c r="AI31" s="19">
        <v>30</v>
      </c>
      <c r="AJ31" s="19" t="s">
        <v>88</v>
      </c>
      <c r="AK31" s="19" t="s">
        <v>87</v>
      </c>
      <c r="AL31" s="19" t="s">
        <v>106</v>
      </c>
      <c r="AM31" s="19" t="s">
        <v>172</v>
      </c>
      <c r="AN31" s="19" t="s">
        <v>90</v>
      </c>
      <c r="AO31" s="19"/>
      <c r="AP31" s="19"/>
      <c r="AQ31" s="19"/>
      <c r="AR31" s="19"/>
      <c r="AS31" s="19"/>
      <c r="AT31" s="19"/>
      <c r="AU31" s="19" t="s">
        <v>51</v>
      </c>
    </row>
    <row r="32" spans="1:47" s="9" customFormat="1" ht="14" x14ac:dyDescent="0.2">
      <c r="A32" s="29"/>
      <c r="B32" s="29"/>
      <c r="C32" s="29"/>
      <c r="D32" s="29"/>
      <c r="E32" s="29"/>
      <c r="F32" s="29"/>
      <c r="G32" s="29"/>
      <c r="H32" s="29"/>
      <c r="I32" s="29"/>
      <c r="J32" s="29"/>
      <c r="K32" s="31"/>
      <c r="L32" s="29"/>
      <c r="M32" s="29"/>
      <c r="N32" s="29"/>
      <c r="O32" s="29"/>
      <c r="P32" s="31"/>
      <c r="Q32" s="31"/>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row>
    <row r="33" spans="1:47" s="9" customFormat="1" ht="14" x14ac:dyDescent="0.2">
      <c r="A33" s="29"/>
      <c r="B33" s="29"/>
      <c r="C33" s="29"/>
      <c r="D33" s="29"/>
      <c r="E33" s="29"/>
      <c r="F33" s="29"/>
      <c r="G33" s="29"/>
      <c r="H33" s="29"/>
      <c r="I33" s="29"/>
      <c r="J33" s="29"/>
      <c r="K33" s="31"/>
      <c r="L33" s="29"/>
      <c r="M33" s="29"/>
      <c r="N33" s="29"/>
      <c r="O33" s="29"/>
      <c r="P33" s="31"/>
      <c r="Q33" s="31"/>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row>
    <row r="34" spans="1:47" s="9" customFormat="1" ht="14" x14ac:dyDescent="0.2">
      <c r="A34" s="29"/>
      <c r="B34" s="29"/>
      <c r="C34" s="29"/>
      <c r="D34" s="29"/>
      <c r="E34" s="29"/>
      <c r="F34" s="29"/>
      <c r="G34" s="29"/>
      <c r="H34" s="29"/>
      <c r="I34" s="29"/>
      <c r="J34" s="29"/>
      <c r="K34" s="31"/>
      <c r="L34" s="29"/>
      <c r="M34" s="29"/>
      <c r="N34" s="29"/>
      <c r="O34" s="29"/>
      <c r="P34" s="31"/>
      <c r="Q34" s="31"/>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row>
    <row r="35" spans="1:47" s="9" customFormat="1" ht="14" x14ac:dyDescent="0.2">
      <c r="A35" s="29"/>
      <c r="B35" s="29"/>
      <c r="C35" s="29"/>
      <c r="D35" s="29"/>
      <c r="E35" s="29"/>
      <c r="F35" s="29"/>
      <c r="G35" s="29"/>
      <c r="H35" s="29"/>
      <c r="I35" s="29"/>
      <c r="J35" s="29"/>
      <c r="K35" s="31"/>
      <c r="L35" s="29"/>
      <c r="M35" s="29"/>
      <c r="N35" s="29"/>
      <c r="O35" s="29"/>
      <c r="P35" s="31"/>
      <c r="Q35" s="31"/>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row>
    <row r="36" spans="1:47" s="9" customFormat="1" ht="30" x14ac:dyDescent="0.2">
      <c r="A36" s="32" t="s">
        <v>299</v>
      </c>
      <c r="B36" s="29"/>
      <c r="C36" s="29"/>
      <c r="D36" s="29"/>
      <c r="E36" s="29"/>
      <c r="F36" s="29"/>
      <c r="G36" s="29"/>
      <c r="H36" s="29"/>
      <c r="I36" s="29"/>
      <c r="J36" s="29"/>
      <c r="K36" s="31"/>
      <c r="L36" s="29"/>
      <c r="M36" s="29"/>
      <c r="N36" s="29"/>
      <c r="O36" s="29"/>
      <c r="P36" s="31"/>
      <c r="Q36" s="31"/>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row>
    <row r="37" spans="1:47" ht="48" x14ac:dyDescent="0.2">
      <c r="A37" s="28" t="s">
        <v>300</v>
      </c>
    </row>
  </sheetData>
  <autoFilter ref="A1:AU31" xr:uid="{BD9EBA7B-D3D9-1A49-808C-1DDBB85BDD97}"/>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56DDA21-D0E4-444C-A3FE-67DA6101771B}">
          <x14:formula1>
            <xm:f>'FormatoGUIA TRDGENERAL'!$A$13:$A$14</xm:f>
          </x14:formula1>
          <xm:sqref>AU2:AU1048576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04A7A-5B3F-2444-8608-FDE7432F09CB}">
  <dimension ref="A1:AU15"/>
  <sheetViews>
    <sheetView topLeftCell="I1" zoomScaleNormal="130" workbookViewId="0">
      <pane ySplit="1" topLeftCell="A2" activePane="bottomLeft" state="frozen"/>
      <selection activeCell="F1" sqref="F1"/>
      <selection pane="bottomLeft" activeCell="D6" sqref="D6"/>
    </sheetView>
  </sheetViews>
  <sheetFormatPr baseColWidth="10" defaultColWidth="9.1640625" defaultRowHeight="14" x14ac:dyDescent="0.2"/>
  <cols>
    <col min="1" max="1" width="21.1640625" style="29" bestFit="1" customWidth="1"/>
    <col min="2" max="3" width="9" style="29" bestFit="1" customWidth="1"/>
    <col min="4" max="4" width="7.33203125" style="29" bestFit="1" customWidth="1"/>
    <col min="5" max="5" width="21.6640625" style="29" bestFit="1" customWidth="1"/>
    <col min="6" max="6" width="9.5" style="29" bestFit="1" customWidth="1"/>
    <col min="7" max="7" width="21.1640625" style="29" customWidth="1"/>
    <col min="8" max="8" width="12.1640625" style="29" bestFit="1" customWidth="1"/>
    <col min="9" max="9" width="18.6640625" style="29" bestFit="1" customWidth="1"/>
    <col min="10" max="10" width="10.83203125" style="29" bestFit="1" customWidth="1"/>
    <col min="11" max="11" width="7.33203125" style="31" bestFit="1" customWidth="1"/>
    <col min="12" max="12" width="11.33203125" style="29" bestFit="1" customWidth="1"/>
    <col min="13" max="13" width="5.83203125" style="29" bestFit="1" customWidth="1"/>
    <col min="14" max="14" width="5.5" style="29" bestFit="1" customWidth="1"/>
    <col min="15" max="15" width="9.33203125" style="29" bestFit="1" customWidth="1"/>
    <col min="16" max="16" width="12.1640625" style="31" customWidth="1"/>
    <col min="17" max="17" width="14.33203125" style="31" customWidth="1"/>
    <col min="18" max="18" width="10.83203125" style="29" bestFit="1" customWidth="1"/>
    <col min="19" max="19" width="11" style="29" bestFit="1" customWidth="1"/>
    <col min="20" max="20" width="5.83203125" style="29" bestFit="1" customWidth="1"/>
    <col min="21" max="21" width="3.5" style="29" bestFit="1" customWidth="1"/>
    <col min="22" max="22" width="3" style="29" bestFit="1" customWidth="1"/>
    <col min="23" max="23" width="8.83203125" style="29" bestFit="1" customWidth="1"/>
    <col min="24" max="24" width="4.6640625" style="29" bestFit="1" customWidth="1"/>
    <col min="25" max="25" width="3.5" style="29" bestFit="1" customWidth="1"/>
    <col min="26" max="26" width="5" style="29" bestFit="1" customWidth="1"/>
    <col min="27" max="27" width="6.6640625" style="29" bestFit="1" customWidth="1"/>
    <col min="28" max="28" width="10.6640625" style="29" bestFit="1" customWidth="1"/>
    <col min="29" max="29" width="11.1640625" style="29" bestFit="1" customWidth="1"/>
    <col min="30" max="31" width="9" style="29" bestFit="1" customWidth="1"/>
    <col min="32" max="32" width="15.6640625" style="29" bestFit="1" customWidth="1"/>
    <col min="33" max="33" width="11.1640625" style="29" customWidth="1"/>
    <col min="34" max="34" width="21.6640625" style="29" customWidth="1"/>
    <col min="35" max="35" width="5.83203125" style="29" customWidth="1"/>
    <col min="36" max="36" width="13.5" style="29" customWidth="1"/>
    <col min="37" max="37" width="21" style="29" customWidth="1"/>
    <col min="38" max="38" width="15.1640625" style="29" customWidth="1"/>
    <col min="39" max="39" width="16.33203125" style="29" customWidth="1"/>
    <col min="40" max="40" width="15.1640625" style="29" customWidth="1"/>
    <col min="41" max="41" width="11.1640625" style="29" bestFit="1" customWidth="1"/>
    <col min="42" max="42" width="9" style="29" bestFit="1" customWidth="1"/>
    <col min="43" max="43" width="14" style="29" bestFit="1" customWidth="1"/>
    <col min="44" max="44" width="10" style="29" bestFit="1" customWidth="1"/>
    <col min="45" max="45" width="12.6640625" style="29" bestFit="1" customWidth="1"/>
    <col min="46" max="46" width="14.6640625" style="29" bestFit="1" customWidth="1"/>
    <col min="47" max="47" width="12" style="29" customWidth="1"/>
    <col min="48" max="16384" width="9.1640625" style="9"/>
  </cols>
  <sheetData>
    <row r="1" spans="1:47" s="14" customFormat="1" ht="24" x14ac:dyDescent="0.2">
      <c r="A1" s="25" t="s">
        <v>0</v>
      </c>
      <c r="B1" s="15" t="s">
        <v>1</v>
      </c>
      <c r="C1" s="15" t="s">
        <v>2</v>
      </c>
      <c r="D1" s="25" t="s">
        <v>3</v>
      </c>
      <c r="E1" s="15" t="s">
        <v>4</v>
      </c>
      <c r="F1" s="25" t="s">
        <v>5</v>
      </c>
      <c r="G1" s="15" t="s">
        <v>6</v>
      </c>
      <c r="H1" s="25" t="s">
        <v>7</v>
      </c>
      <c r="I1" s="15" t="s">
        <v>8</v>
      </c>
      <c r="J1" s="15" t="s">
        <v>9</v>
      </c>
      <c r="K1" s="13" t="s">
        <v>10</v>
      </c>
      <c r="L1" s="15" t="s">
        <v>11</v>
      </c>
      <c r="M1" s="16" t="s">
        <v>12</v>
      </c>
      <c r="N1" s="17" t="s">
        <v>13</v>
      </c>
      <c r="O1" s="17" t="s">
        <v>14</v>
      </c>
      <c r="P1" s="13" t="s">
        <v>15</v>
      </c>
      <c r="Q1" s="13" t="s">
        <v>16</v>
      </c>
      <c r="R1" s="17" t="s">
        <v>17</v>
      </c>
      <c r="S1" s="17" t="s">
        <v>18</v>
      </c>
      <c r="T1" s="27" t="s">
        <v>19</v>
      </c>
      <c r="U1" s="27" t="s">
        <v>20</v>
      </c>
      <c r="V1" s="27" t="s">
        <v>21</v>
      </c>
      <c r="W1" s="2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row>
    <row r="2" spans="1:47" ht="75" x14ac:dyDescent="0.2">
      <c r="A2" s="19"/>
      <c r="B2" s="19" t="s">
        <v>93</v>
      </c>
      <c r="C2" s="19" t="s">
        <v>56</v>
      </c>
      <c r="D2" s="19"/>
      <c r="E2" s="19" t="str">
        <f>UPPER('[2]TRANSFERENCIA DOCUMENTAL'!$B$16)</f>
        <v>CURSOS PREUNIVERSITARIOS E INTERSEMESTRALES</v>
      </c>
      <c r="F2" s="19"/>
      <c r="G2" s="19" t="str">
        <f>UPPER('[2]TRANSFERENCIA DOCUMENTAL'!$C$16)</f>
        <v>CURSOS INTERSEMESTRALES</v>
      </c>
      <c r="H2" s="19"/>
      <c r="I2" s="19" t="str">
        <f>UPPER('[2]TRANSFERENCIA DOCUMENTAL'!$D$16)</f>
        <v>CURSO INTERSEMESTRAL PEI ARGENTINA 2013</v>
      </c>
      <c r="J2" s="19" t="s">
        <v>64</v>
      </c>
      <c r="K2" s="20" t="s">
        <v>95</v>
      </c>
      <c r="L2" s="19" t="s">
        <v>68</v>
      </c>
      <c r="M2" s="19">
        <v>1</v>
      </c>
      <c r="N2" s="19">
        <v>63</v>
      </c>
      <c r="O2" s="19"/>
      <c r="P2" s="20" t="s">
        <v>96</v>
      </c>
      <c r="Q2" s="20" t="s">
        <v>94</v>
      </c>
      <c r="R2" s="19"/>
      <c r="S2" s="19"/>
      <c r="T2" s="19"/>
      <c r="U2" s="19"/>
      <c r="V2" s="19"/>
      <c r="W2" s="19"/>
      <c r="X2" s="19" t="s">
        <v>97</v>
      </c>
      <c r="Y2" s="19" t="s">
        <v>98</v>
      </c>
      <c r="Z2" s="19" t="s">
        <v>99</v>
      </c>
      <c r="AA2" s="19" t="s">
        <v>100</v>
      </c>
      <c r="AB2" s="19" t="s">
        <v>101</v>
      </c>
      <c r="AC2" s="19" t="s">
        <v>102</v>
      </c>
      <c r="AD2" s="19"/>
      <c r="AE2" s="19"/>
      <c r="AF2" s="19" t="s">
        <v>103</v>
      </c>
      <c r="AG2" s="19" t="str">
        <f>UPPER('FormatoGUIA TRDGENERAL'!AF11)</f>
        <v>PROGRAMA DE EXPERIENCIAS INTERNACIONALES PEI</v>
      </c>
      <c r="AH2" s="19" t="str">
        <f>UPPER('[2]TRANSFERENCIA DOCUMENTAL'!$E$16)</f>
        <v>PROPUESTA PROGRAMA ACADEMICO Y COMUNICACIONES</v>
      </c>
      <c r="AI2" s="19">
        <v>1</v>
      </c>
      <c r="AJ2" s="19" t="s">
        <v>88</v>
      </c>
      <c r="AK2" s="19" t="s">
        <v>87</v>
      </c>
      <c r="AL2" s="19" t="s">
        <v>106</v>
      </c>
      <c r="AM2" s="19" t="s">
        <v>107</v>
      </c>
      <c r="AN2" s="19" t="s">
        <v>90</v>
      </c>
      <c r="AO2" s="19"/>
      <c r="AP2" s="19"/>
      <c r="AQ2" s="19"/>
      <c r="AR2" s="19"/>
      <c r="AS2" s="19"/>
      <c r="AT2" s="19"/>
      <c r="AU2" s="19"/>
    </row>
    <row r="3" spans="1:47" ht="75" x14ac:dyDescent="0.2">
      <c r="A3" s="19"/>
      <c r="B3" s="19" t="s">
        <v>93</v>
      </c>
      <c r="C3" s="19" t="s">
        <v>56</v>
      </c>
      <c r="D3" s="19"/>
      <c r="E3" s="19" t="str">
        <f>UPPER('[2]TRANSFERENCIA DOCUMENTAL'!$B$16)</f>
        <v>CURSOS PREUNIVERSITARIOS E INTERSEMESTRALES</v>
      </c>
      <c r="F3" s="19"/>
      <c r="G3" s="19" t="str">
        <f>UPPER('[2]TRANSFERENCIA DOCUMENTAL'!$C$16)</f>
        <v>CURSOS INTERSEMESTRALES</v>
      </c>
      <c r="H3" s="19"/>
      <c r="I3" s="19" t="str">
        <f>UPPER('[2]TRANSFERENCIA DOCUMENTAL'!$D$16)</f>
        <v>CURSO INTERSEMESTRAL PEI ARGENTINA 2013</v>
      </c>
      <c r="J3" s="19" t="s">
        <v>64</v>
      </c>
      <c r="K3" s="20" t="s">
        <v>95</v>
      </c>
      <c r="L3" s="19" t="s">
        <v>68</v>
      </c>
      <c r="M3" s="19">
        <v>2</v>
      </c>
      <c r="N3" s="19">
        <v>130</v>
      </c>
      <c r="O3" s="19"/>
      <c r="P3" s="20" t="s">
        <v>108</v>
      </c>
      <c r="Q3" s="20" t="s">
        <v>109</v>
      </c>
      <c r="R3" s="19"/>
      <c r="S3" s="19"/>
      <c r="T3" s="19"/>
      <c r="U3" s="19"/>
      <c r="V3" s="19"/>
      <c r="W3" s="19"/>
      <c r="X3" s="19" t="s">
        <v>97</v>
      </c>
      <c r="Y3" s="19" t="s">
        <v>98</v>
      </c>
      <c r="Z3" s="19" t="s">
        <v>99</v>
      </c>
      <c r="AA3" s="19" t="s">
        <v>100</v>
      </c>
      <c r="AB3" s="19" t="s">
        <v>101</v>
      </c>
      <c r="AC3" s="19" t="s">
        <v>110</v>
      </c>
      <c r="AD3" s="19"/>
      <c r="AE3" s="19"/>
      <c r="AF3" s="19" t="s">
        <v>111</v>
      </c>
      <c r="AG3" s="19" t="s">
        <v>107</v>
      </c>
      <c r="AH3" s="19" t="str">
        <f>UPPER('[2]TRANSFERENCIA DOCUMENTAL'!$E$17)</f>
        <v>PROGRAMA ACADEMICO, LISTA DE PARTICIPANTES Y COMUNICACIONES</v>
      </c>
      <c r="AI3" s="19">
        <v>2</v>
      </c>
      <c r="AJ3" s="19" t="s">
        <v>88</v>
      </c>
      <c r="AK3" s="19" t="s">
        <v>87</v>
      </c>
      <c r="AL3" s="19" t="s">
        <v>106</v>
      </c>
      <c r="AM3" s="19" t="s">
        <v>107</v>
      </c>
      <c r="AN3" s="19" t="s">
        <v>90</v>
      </c>
      <c r="AO3" s="19"/>
      <c r="AP3" s="19"/>
      <c r="AQ3" s="19"/>
      <c r="AR3" s="19"/>
      <c r="AS3" s="19"/>
      <c r="AT3" s="19"/>
      <c r="AU3" s="19"/>
    </row>
    <row r="4" spans="1:47" ht="75" x14ac:dyDescent="0.2">
      <c r="A4" s="19"/>
      <c r="B4" s="19" t="s">
        <v>93</v>
      </c>
      <c r="C4" s="19" t="s">
        <v>56</v>
      </c>
      <c r="D4" s="19"/>
      <c r="E4" s="19" t="str">
        <f>UPPER('[2]TRANSFERENCIA DOCUMENTAL'!$B$18)</f>
        <v>EVENTOS</v>
      </c>
      <c r="F4" s="19"/>
      <c r="G4" s="19" t="str">
        <f>UPPER('[2]TRANSFERENCIA DOCUMENTAL'!$C$18)</f>
        <v>EVENTOS INSTITUCIONALES</v>
      </c>
      <c r="H4" s="19"/>
      <c r="I4" s="19" t="str">
        <f>UPPER('[2]TRANSFERENCIA DOCUMENTAL'!$D$18)</f>
        <v>CLASE PROYECTO NUEVOS TERRITORIOS Y WORKSHOPS 2013</v>
      </c>
      <c r="J4" s="19" t="s">
        <v>64</v>
      </c>
      <c r="K4" s="20" t="s">
        <v>95</v>
      </c>
      <c r="L4" s="19" t="s">
        <v>68</v>
      </c>
      <c r="M4" s="19">
        <v>1</v>
      </c>
      <c r="N4" s="19">
        <v>163</v>
      </c>
      <c r="O4" s="19"/>
      <c r="P4" s="20" t="s">
        <v>112</v>
      </c>
      <c r="Q4" s="20" t="s">
        <v>113</v>
      </c>
      <c r="R4" s="19"/>
      <c r="S4" s="19"/>
      <c r="T4" s="19"/>
      <c r="U4" s="19"/>
      <c r="V4" s="19"/>
      <c r="W4" s="19"/>
      <c r="X4" s="19" t="s">
        <v>97</v>
      </c>
      <c r="Y4" s="19" t="s">
        <v>98</v>
      </c>
      <c r="Z4" s="19" t="s">
        <v>99</v>
      </c>
      <c r="AA4" s="19" t="s">
        <v>100</v>
      </c>
      <c r="AB4" s="19" t="s">
        <v>101</v>
      </c>
      <c r="AC4" s="19" t="s">
        <v>114</v>
      </c>
      <c r="AD4" s="19"/>
      <c r="AE4" s="19"/>
      <c r="AF4" s="19" t="s">
        <v>115</v>
      </c>
      <c r="AG4" s="19" t="s">
        <v>107</v>
      </c>
      <c r="AH4" s="19" t="str">
        <f>UPPER('[2]TRANSFERENCIA DOCUMENTAL'!$E$18)</f>
        <v>PROGRAMA, LISTA DE PARTICIPANTES, LISTA DE CLASE, ACTIVIDADES</v>
      </c>
      <c r="AI4" s="19">
        <v>3</v>
      </c>
      <c r="AJ4" s="19" t="s">
        <v>88</v>
      </c>
      <c r="AK4" s="19" t="s">
        <v>87</v>
      </c>
      <c r="AL4" s="19" t="s">
        <v>106</v>
      </c>
      <c r="AM4" s="19" t="s">
        <v>107</v>
      </c>
      <c r="AN4" s="19" t="s">
        <v>90</v>
      </c>
      <c r="AO4" s="19"/>
      <c r="AP4" s="19"/>
      <c r="AQ4" s="19"/>
      <c r="AR4" s="19"/>
      <c r="AS4" s="19"/>
      <c r="AT4" s="19"/>
      <c r="AU4" s="19"/>
    </row>
    <row r="5" spans="1:47" ht="75" x14ac:dyDescent="0.2">
      <c r="A5" s="19"/>
      <c r="B5" s="19" t="s">
        <v>93</v>
      </c>
      <c r="C5" s="19" t="s">
        <v>56</v>
      </c>
      <c r="D5" s="19"/>
      <c r="E5" s="19" t="s">
        <v>116</v>
      </c>
      <c r="F5" s="19"/>
      <c r="G5" s="19" t="s">
        <v>117</v>
      </c>
      <c r="H5" s="19"/>
      <c r="I5" s="19" t="str">
        <f>UPPER('[2]TRANSFERENCIA DOCUMENTAL'!$D$19)</f>
        <v>CURSO INTERSEMESTRAL PEI ARGENTINA 2014</v>
      </c>
      <c r="J5" s="19" t="s">
        <v>64</v>
      </c>
      <c r="K5" s="20" t="s">
        <v>118</v>
      </c>
      <c r="L5" s="19" t="s">
        <v>68</v>
      </c>
      <c r="M5" s="19">
        <v>1</v>
      </c>
      <c r="N5" s="19">
        <v>170</v>
      </c>
      <c r="O5" s="19"/>
      <c r="P5" s="20" t="s">
        <v>119</v>
      </c>
      <c r="Q5" s="20" t="s">
        <v>120</v>
      </c>
      <c r="R5" s="19"/>
      <c r="S5" s="19"/>
      <c r="T5" s="19"/>
      <c r="U5" s="19"/>
      <c r="V5" s="19"/>
      <c r="W5" s="19"/>
      <c r="X5" s="19" t="s">
        <v>97</v>
      </c>
      <c r="Y5" s="19" t="s">
        <v>98</v>
      </c>
      <c r="Z5" s="19" t="s">
        <v>99</v>
      </c>
      <c r="AA5" s="19" t="s">
        <v>100</v>
      </c>
      <c r="AB5" s="19" t="s">
        <v>101</v>
      </c>
      <c r="AC5" s="33" t="s">
        <v>141</v>
      </c>
      <c r="AD5" s="33"/>
      <c r="AE5" s="33"/>
      <c r="AF5" s="33" t="s">
        <v>121</v>
      </c>
      <c r="AG5" s="19" t="s">
        <v>107</v>
      </c>
      <c r="AH5" s="19" t="str">
        <f>UPPER('[2]TRANSFERENCIA DOCUMENTAL'!$E$19)</f>
        <v>PROGRAMA ACADEMICO, LISTA DE PARTICIPANTES, INFORME Y  COMUNICACIONES</v>
      </c>
      <c r="AI5" s="19">
        <v>4</v>
      </c>
      <c r="AJ5" s="19" t="s">
        <v>88</v>
      </c>
      <c r="AK5" s="19" t="s">
        <v>87</v>
      </c>
      <c r="AL5" s="19" t="s">
        <v>106</v>
      </c>
      <c r="AM5" s="19" t="s">
        <v>107</v>
      </c>
      <c r="AN5" s="19" t="s">
        <v>90</v>
      </c>
      <c r="AO5" s="19"/>
      <c r="AP5" s="19"/>
      <c r="AQ5" s="19"/>
      <c r="AR5" s="19"/>
      <c r="AS5" s="19"/>
      <c r="AT5" s="19"/>
      <c r="AU5" s="19"/>
    </row>
    <row r="6" spans="1:47" ht="75" x14ac:dyDescent="0.2">
      <c r="A6" s="30"/>
      <c r="B6" s="19" t="s">
        <v>93</v>
      </c>
      <c r="C6" s="19" t="s">
        <v>56</v>
      </c>
      <c r="D6" s="19"/>
      <c r="E6" s="19" t="s">
        <v>116</v>
      </c>
      <c r="F6" s="19"/>
      <c r="G6" s="19" t="s">
        <v>117</v>
      </c>
      <c r="H6" s="19"/>
      <c r="I6" s="19" t="str">
        <f>UPPER('[2]TRANSFERENCIA DOCUMENTAL'!$D$20)</f>
        <v>CURSO INTERSEMESTRAL PEI RHODE ISLAND 2014</v>
      </c>
      <c r="J6" s="19" t="s">
        <v>64</v>
      </c>
      <c r="K6" s="20" t="s">
        <v>123</v>
      </c>
      <c r="L6" s="19" t="s">
        <v>68</v>
      </c>
      <c r="M6" s="24">
        <v>1</v>
      </c>
      <c r="N6" s="19">
        <v>109</v>
      </c>
      <c r="O6" s="19"/>
      <c r="P6" s="20" t="s">
        <v>124</v>
      </c>
      <c r="Q6" s="20" t="s">
        <v>125</v>
      </c>
      <c r="R6" s="19"/>
      <c r="S6" s="19"/>
      <c r="T6" s="19"/>
      <c r="U6" s="19"/>
      <c r="V6" s="19"/>
      <c r="W6" s="19"/>
      <c r="X6" s="19" t="s">
        <v>97</v>
      </c>
      <c r="Y6" s="19" t="s">
        <v>98</v>
      </c>
      <c r="Z6" s="19" t="s">
        <v>99</v>
      </c>
      <c r="AA6" s="19" t="s">
        <v>100</v>
      </c>
      <c r="AB6" s="19" t="s">
        <v>101</v>
      </c>
      <c r="AC6" s="18" t="s">
        <v>127</v>
      </c>
      <c r="AD6" s="19"/>
      <c r="AE6" s="19"/>
      <c r="AF6" s="21" t="s">
        <v>126</v>
      </c>
      <c r="AG6" s="19" t="s">
        <v>107</v>
      </c>
      <c r="AH6" s="19" t="str">
        <f>UPPER('[2]TRANSFERENCIA DOCUMENTAL'!$E$20)</f>
        <v xml:space="preserve">PROGRAMA ACADEMICO, LISTA DE PARTICIPANTES, INFORME Y  COMUNICACIONES. </v>
      </c>
      <c r="AI6" s="19">
        <v>5</v>
      </c>
      <c r="AJ6" s="19" t="s">
        <v>88</v>
      </c>
      <c r="AK6" s="19" t="s">
        <v>87</v>
      </c>
      <c r="AL6" s="19" t="s">
        <v>106</v>
      </c>
      <c r="AM6" s="19" t="s">
        <v>107</v>
      </c>
      <c r="AN6" s="19" t="s">
        <v>90</v>
      </c>
      <c r="AO6" s="19"/>
      <c r="AP6" s="19"/>
      <c r="AQ6" s="19"/>
      <c r="AR6" s="19"/>
      <c r="AS6" s="19"/>
      <c r="AT6" s="19"/>
      <c r="AU6" s="19"/>
    </row>
    <row r="7" spans="1:47" ht="75" x14ac:dyDescent="0.2">
      <c r="A7" s="19"/>
      <c r="B7" s="19" t="s">
        <v>93</v>
      </c>
      <c r="C7" s="19" t="s">
        <v>56</v>
      </c>
      <c r="D7" s="19"/>
      <c r="E7" s="19" t="s">
        <v>116</v>
      </c>
      <c r="F7" s="19"/>
      <c r="G7" s="19" t="s">
        <v>117</v>
      </c>
      <c r="H7" s="19"/>
      <c r="I7" s="19" t="str">
        <f>UPPER('[2]TRANSFERENCIA DOCUMENTAL'!$D$21)</f>
        <v>CURSO INTERSEMESTRAL PEI ESPAÑA 2014</v>
      </c>
      <c r="J7" s="19" t="s">
        <v>64</v>
      </c>
      <c r="K7" s="20" t="s">
        <v>123</v>
      </c>
      <c r="L7" s="19" t="s">
        <v>68</v>
      </c>
      <c r="M7" s="24">
        <v>1</v>
      </c>
      <c r="N7" s="19">
        <v>128</v>
      </c>
      <c r="O7" s="19"/>
      <c r="P7" s="20" t="s">
        <v>124</v>
      </c>
      <c r="Q7" s="20" t="s">
        <v>128</v>
      </c>
      <c r="R7" s="19"/>
      <c r="S7" s="19"/>
      <c r="T7" s="19"/>
      <c r="U7" s="19"/>
      <c r="V7" s="19"/>
      <c r="W7" s="19"/>
      <c r="X7" s="19" t="s">
        <v>97</v>
      </c>
      <c r="Y7" s="19" t="s">
        <v>98</v>
      </c>
      <c r="Z7" s="19" t="s">
        <v>99</v>
      </c>
      <c r="AA7" s="19" t="s">
        <v>100</v>
      </c>
      <c r="AB7" s="19" t="s">
        <v>101</v>
      </c>
      <c r="AC7" s="19" t="s">
        <v>130</v>
      </c>
      <c r="AD7" s="19"/>
      <c r="AE7" s="19"/>
      <c r="AF7" s="19" t="s">
        <v>129</v>
      </c>
      <c r="AG7" s="19" t="s">
        <v>107</v>
      </c>
      <c r="AH7" s="19" t="str">
        <f>UPPER('[2]TRANSFERENCIA DOCUMENTAL'!$E$21)</f>
        <v xml:space="preserve">PROGRAMA ACADEMICO, LISTA DE PARTICIPANTES, INFORME Y  COMUNICACIONES. </v>
      </c>
      <c r="AI7" s="19">
        <v>6</v>
      </c>
      <c r="AJ7" s="19" t="s">
        <v>88</v>
      </c>
      <c r="AK7" s="19" t="s">
        <v>87</v>
      </c>
      <c r="AL7" s="19" t="s">
        <v>106</v>
      </c>
      <c r="AM7" s="19" t="s">
        <v>107</v>
      </c>
      <c r="AN7" s="19" t="s">
        <v>90</v>
      </c>
      <c r="AO7" s="19"/>
      <c r="AP7" s="19"/>
      <c r="AQ7" s="19"/>
      <c r="AR7" s="19"/>
      <c r="AS7" s="19"/>
      <c r="AT7" s="19"/>
      <c r="AU7" s="19"/>
    </row>
    <row r="8" spans="1:47" ht="75" x14ac:dyDescent="0.2">
      <c r="A8" s="19"/>
      <c r="B8" s="19" t="s">
        <v>93</v>
      </c>
      <c r="C8" s="19" t="s">
        <v>56</v>
      </c>
      <c r="D8" s="19"/>
      <c r="E8" s="19" t="s">
        <v>131</v>
      </c>
      <c r="F8" s="19"/>
      <c r="G8" s="19" t="s">
        <v>132</v>
      </c>
      <c r="H8" s="19"/>
      <c r="I8" s="19" t="str">
        <f>UPPER('[2]TRANSFERENCIA DOCUMENTAL'!$D$22)</f>
        <v>CLASE PROYECTO NUEVOS TERRITORIOS Y WORKSHOPS 2014</v>
      </c>
      <c r="J8" s="19" t="s">
        <v>64</v>
      </c>
      <c r="K8" s="20" t="s">
        <v>123</v>
      </c>
      <c r="L8" s="19" t="s">
        <v>68</v>
      </c>
      <c r="M8" s="24">
        <v>1</v>
      </c>
      <c r="N8" s="19">
        <v>196</v>
      </c>
      <c r="O8" s="19"/>
      <c r="P8" s="20" t="s">
        <v>133</v>
      </c>
      <c r="Q8" s="20" t="s">
        <v>134</v>
      </c>
      <c r="R8" s="19"/>
      <c r="S8" s="19"/>
      <c r="T8" s="19"/>
      <c r="U8" s="19"/>
      <c r="V8" s="19"/>
      <c r="W8" s="19"/>
      <c r="X8" s="19" t="s">
        <v>97</v>
      </c>
      <c r="Y8" s="19" t="s">
        <v>98</v>
      </c>
      <c r="Z8" s="19" t="s">
        <v>99</v>
      </c>
      <c r="AA8" s="19" t="s">
        <v>100</v>
      </c>
      <c r="AB8" s="19" t="s">
        <v>101</v>
      </c>
      <c r="AC8" s="19" t="s">
        <v>136</v>
      </c>
      <c r="AD8" s="19"/>
      <c r="AE8" s="19"/>
      <c r="AF8" s="19" t="s">
        <v>135</v>
      </c>
      <c r="AG8" s="19" t="s">
        <v>107</v>
      </c>
      <c r="AH8" s="19" t="str">
        <f>UPPER('[2]TRANSFERENCIA DOCUMENTAL'!$E$22)</f>
        <v>PROGRAMA, LISTA DE PARTICIPANTES, LISTA DE CLASE, ACTIVIDADES</v>
      </c>
      <c r="AI8" s="19">
        <v>7</v>
      </c>
      <c r="AJ8" s="19" t="s">
        <v>88</v>
      </c>
      <c r="AK8" s="19" t="s">
        <v>87</v>
      </c>
      <c r="AL8" s="19" t="s">
        <v>106</v>
      </c>
      <c r="AM8" s="19" t="s">
        <v>107</v>
      </c>
      <c r="AN8" s="19" t="s">
        <v>90</v>
      </c>
      <c r="AO8" s="19"/>
      <c r="AP8" s="19"/>
      <c r="AQ8" s="19"/>
      <c r="AR8" s="19"/>
      <c r="AS8" s="19"/>
      <c r="AT8" s="19"/>
      <c r="AU8" s="19"/>
    </row>
    <row r="9" spans="1:47" ht="90" x14ac:dyDescent="0.2">
      <c r="A9" s="19"/>
      <c r="B9" s="19" t="s">
        <v>93</v>
      </c>
      <c r="C9" s="19" t="s">
        <v>56</v>
      </c>
      <c r="D9" s="19"/>
      <c r="E9" s="19" t="str">
        <f>UPPER('[2]TRANSFERENCIA DOCUMENTAL'!$B$23)</f>
        <v>PROYECTOS</v>
      </c>
      <c r="F9" s="19"/>
      <c r="G9" s="19" t="str">
        <f>UPPER('[2]TRANSFERENCIA DOCUMENTAL'!$C$23)</f>
        <v>PROYECTOS DE INVESTIGACION EXTERNOS</v>
      </c>
      <c r="H9" s="19"/>
      <c r="I9" s="19" t="str">
        <f>UPPER('[2]TRANSFERENCIA DOCUMENTAL'!$D$23)</f>
        <v xml:space="preserve">CONCURSO INTERNACIONAL SOLAR DECATHLON SDLAC 2014/2015 </v>
      </c>
      <c r="J9" s="19" t="s">
        <v>64</v>
      </c>
      <c r="K9" s="20" t="s">
        <v>123</v>
      </c>
      <c r="L9" s="19" t="s">
        <v>68</v>
      </c>
      <c r="M9" s="24">
        <v>1</v>
      </c>
      <c r="N9" s="19">
        <v>122</v>
      </c>
      <c r="O9" s="19"/>
      <c r="P9" s="20" t="s">
        <v>137</v>
      </c>
      <c r="Q9" s="20" t="s">
        <v>138</v>
      </c>
      <c r="R9" s="19"/>
      <c r="S9" s="19"/>
      <c r="T9" s="19"/>
      <c r="U9" s="19"/>
      <c r="V9" s="19"/>
      <c r="W9" s="19"/>
      <c r="X9" s="19" t="s">
        <v>97</v>
      </c>
      <c r="Y9" s="19" t="s">
        <v>98</v>
      </c>
      <c r="Z9" s="19" t="s">
        <v>99</v>
      </c>
      <c r="AA9" s="19" t="s">
        <v>100</v>
      </c>
      <c r="AB9" s="19" t="s">
        <v>101</v>
      </c>
      <c r="AC9" s="19" t="s">
        <v>140</v>
      </c>
      <c r="AD9" s="19"/>
      <c r="AE9" s="19"/>
      <c r="AF9" s="19" t="s">
        <v>139</v>
      </c>
      <c r="AG9" s="19" t="s">
        <v>107</v>
      </c>
      <c r="AH9" s="19" t="str">
        <f>UPPER('[2]TRANSFERENCIA DOCUMENTAL'!$E$23)</f>
        <v>PROPUESTAS, AVANCES, FORMATO DE REGISTRO, CREACION DE CODIGOS, CONVENIOS, POLIZAS, COMUNICACIONES,  Y PARTICIPANTES</v>
      </c>
      <c r="AI9" s="19">
        <v>8</v>
      </c>
      <c r="AJ9" s="19" t="s">
        <v>88</v>
      </c>
      <c r="AK9" s="19" t="s">
        <v>87</v>
      </c>
      <c r="AL9" s="19" t="s">
        <v>106</v>
      </c>
      <c r="AM9" s="19" t="s">
        <v>107</v>
      </c>
      <c r="AN9" s="19" t="s">
        <v>90</v>
      </c>
      <c r="AO9" s="19"/>
      <c r="AP9" s="19"/>
      <c r="AQ9" s="19"/>
      <c r="AR9" s="19"/>
      <c r="AS9" s="19"/>
      <c r="AT9" s="19"/>
      <c r="AU9" s="19"/>
    </row>
    <row r="10" spans="1:47" ht="90" x14ac:dyDescent="0.2">
      <c r="A10" s="19"/>
      <c r="B10" s="19" t="s">
        <v>93</v>
      </c>
      <c r="C10" s="19" t="s">
        <v>56</v>
      </c>
      <c r="D10" s="19"/>
      <c r="E10" s="19" t="s">
        <v>142</v>
      </c>
      <c r="F10" s="19"/>
      <c r="G10" s="19" t="s">
        <v>143</v>
      </c>
      <c r="H10" s="19"/>
      <c r="I10" s="19" t="str">
        <f>UPPER('[2]TRANSFERENCIA DOCUMENTAL'!$D$24)</f>
        <v>CONCURSO INTERNACIONAL SOLAR DECATHLON SDLAC 2014/2015 (1/3)</v>
      </c>
      <c r="J10" s="19" t="s">
        <v>64</v>
      </c>
      <c r="K10" s="20" t="s">
        <v>118</v>
      </c>
      <c r="L10" s="19" t="s">
        <v>68</v>
      </c>
      <c r="M10" s="24">
        <v>1</v>
      </c>
      <c r="N10" s="19">
        <v>200</v>
      </c>
      <c r="O10" s="19"/>
      <c r="P10" s="20" t="s">
        <v>144</v>
      </c>
      <c r="Q10" s="20" t="s">
        <v>145</v>
      </c>
      <c r="R10" s="19"/>
      <c r="S10" s="19"/>
      <c r="T10" s="19"/>
      <c r="U10" s="19"/>
      <c r="V10" s="19"/>
      <c r="W10" s="19"/>
      <c r="X10" s="19" t="s">
        <v>97</v>
      </c>
      <c r="Y10" s="19" t="s">
        <v>98</v>
      </c>
      <c r="Z10" s="19" t="s">
        <v>99</v>
      </c>
      <c r="AA10" s="19" t="s">
        <v>100</v>
      </c>
      <c r="AB10" s="19" t="s">
        <v>101</v>
      </c>
      <c r="AC10" s="19" t="s">
        <v>147</v>
      </c>
      <c r="AD10" s="19"/>
      <c r="AE10" s="19"/>
      <c r="AF10" s="19" t="s">
        <v>146</v>
      </c>
      <c r="AG10" s="19" t="s">
        <v>107</v>
      </c>
      <c r="AH10" s="19" t="str">
        <f>UPPER('[2]TRANSFERENCIA DOCUMENTAL'!$E$24)</f>
        <v>PROPUESTAS, AVANCES, FORMATO DE REGISTRO, CREACION DE CODIGOS, CONVENIOS, POLIZAS, COMUNICACIONES,  Y PARTICIPANTES</v>
      </c>
      <c r="AI10" s="19">
        <v>9</v>
      </c>
      <c r="AJ10" s="19" t="s">
        <v>88</v>
      </c>
      <c r="AK10" s="19" t="s">
        <v>87</v>
      </c>
      <c r="AL10" s="19" t="s">
        <v>106</v>
      </c>
      <c r="AM10" s="19" t="s">
        <v>107</v>
      </c>
      <c r="AN10" s="19" t="s">
        <v>90</v>
      </c>
      <c r="AO10" s="19"/>
      <c r="AP10" s="19"/>
      <c r="AQ10" s="19"/>
      <c r="AR10" s="19"/>
      <c r="AS10" s="19"/>
      <c r="AT10" s="19"/>
      <c r="AU10" s="19"/>
    </row>
    <row r="11" spans="1:47" ht="90" x14ac:dyDescent="0.2">
      <c r="A11" s="19"/>
      <c r="B11" s="19" t="s">
        <v>93</v>
      </c>
      <c r="C11" s="19" t="s">
        <v>56</v>
      </c>
      <c r="D11" s="19"/>
      <c r="E11" s="19" t="s">
        <v>142</v>
      </c>
      <c r="F11" s="19"/>
      <c r="G11" s="19" t="s">
        <v>143</v>
      </c>
      <c r="H11" s="19"/>
      <c r="I11" s="19" t="str">
        <f>UPPER('[2]TRANSFERENCIA DOCUMENTAL'!$D$25)</f>
        <v>CONCURSO INTERNACIONAL SOLAR DECATHLON SDLAC 2014/2015 (2/3)</v>
      </c>
      <c r="J11" s="19" t="s">
        <v>64</v>
      </c>
      <c r="K11" s="20" t="s">
        <v>118</v>
      </c>
      <c r="L11" s="19" t="s">
        <v>68</v>
      </c>
      <c r="M11" s="24">
        <v>1</v>
      </c>
      <c r="N11" s="19">
        <v>124</v>
      </c>
      <c r="O11" s="19"/>
      <c r="P11" s="20" t="s">
        <v>144</v>
      </c>
      <c r="Q11" s="20" t="s">
        <v>145</v>
      </c>
      <c r="R11" s="19"/>
      <c r="S11" s="19"/>
      <c r="T11" s="19"/>
      <c r="U11" s="19"/>
      <c r="V11" s="19"/>
      <c r="W11" s="19"/>
      <c r="X11" s="19" t="s">
        <v>97</v>
      </c>
      <c r="Y11" s="19" t="s">
        <v>98</v>
      </c>
      <c r="Z11" s="19" t="s">
        <v>99</v>
      </c>
      <c r="AA11" s="19" t="s">
        <v>100</v>
      </c>
      <c r="AB11" s="19" t="s">
        <v>150</v>
      </c>
      <c r="AC11" s="19" t="s">
        <v>149</v>
      </c>
      <c r="AD11" s="19"/>
      <c r="AE11" s="19"/>
      <c r="AF11" s="19" t="s">
        <v>148</v>
      </c>
      <c r="AG11" s="19" t="s">
        <v>107</v>
      </c>
      <c r="AH11" s="19" t="str">
        <f>UPPER('[2]TRANSFERENCIA DOCUMENTAL'!$E$25)</f>
        <v>PROPUESTAS, AVANCES, FORMATO DE REGISTRO, CREACION DE CODIGOS, CONVENIOS, POLIZAS, COMUNICACIONES,  Y PARTICIPANTES</v>
      </c>
      <c r="AI11" s="19">
        <v>10</v>
      </c>
      <c r="AJ11" s="19" t="s">
        <v>88</v>
      </c>
      <c r="AK11" s="19" t="s">
        <v>87</v>
      </c>
      <c r="AL11" s="19" t="s">
        <v>106</v>
      </c>
      <c r="AM11" s="19" t="s">
        <v>107</v>
      </c>
      <c r="AN11" s="19" t="s">
        <v>90</v>
      </c>
      <c r="AO11" s="19"/>
      <c r="AP11" s="19"/>
      <c r="AQ11" s="19"/>
      <c r="AR11" s="19"/>
      <c r="AS11" s="19"/>
      <c r="AT11" s="19"/>
      <c r="AU11" s="19"/>
    </row>
    <row r="12" spans="1:47" ht="90" x14ac:dyDescent="0.2">
      <c r="A12" s="19"/>
      <c r="B12" s="19" t="s">
        <v>93</v>
      </c>
      <c r="C12" s="19" t="s">
        <v>56</v>
      </c>
      <c r="D12" s="19"/>
      <c r="E12" s="19" t="s">
        <v>142</v>
      </c>
      <c r="F12" s="19"/>
      <c r="G12" s="19" t="s">
        <v>143</v>
      </c>
      <c r="H12" s="19"/>
      <c r="I12" s="19" t="str">
        <f>UPPER('[2]TRANSFERENCIA DOCUMENTAL'!$D$26)</f>
        <v>CONCURSO INTERNACIONAL SOLAR DECATHLON SDLAC 2014/2015 (3/3)</v>
      </c>
      <c r="J12" s="19" t="s">
        <v>64</v>
      </c>
      <c r="K12" s="20" t="s">
        <v>118</v>
      </c>
      <c r="L12" s="19" t="s">
        <v>68</v>
      </c>
      <c r="M12" s="24">
        <v>1</v>
      </c>
      <c r="N12" s="19">
        <v>131</v>
      </c>
      <c r="O12" s="19"/>
      <c r="P12" s="20" t="s">
        <v>144</v>
      </c>
      <c r="Q12" s="20" t="s">
        <v>145</v>
      </c>
      <c r="R12" s="19"/>
      <c r="S12" s="19"/>
      <c r="T12" s="19"/>
      <c r="U12" s="19"/>
      <c r="V12" s="19"/>
      <c r="W12" s="19"/>
      <c r="X12" s="19" t="s">
        <v>97</v>
      </c>
      <c r="Y12" s="19" t="s">
        <v>98</v>
      </c>
      <c r="Z12" s="19" t="s">
        <v>99</v>
      </c>
      <c r="AA12" s="19" t="s">
        <v>100</v>
      </c>
      <c r="AB12" s="19" t="s">
        <v>150</v>
      </c>
      <c r="AC12" s="19" t="s">
        <v>152</v>
      </c>
      <c r="AD12" s="19"/>
      <c r="AE12" s="19"/>
      <c r="AF12" s="19" t="s">
        <v>151</v>
      </c>
      <c r="AG12" s="19" t="s">
        <v>107</v>
      </c>
      <c r="AH12" s="19" t="str">
        <f>UPPER('[2]TRANSFERENCIA DOCUMENTAL'!$E$26)</f>
        <v>PROPUESTAS, AVANCES, FORMATO DE REGISTRO, CREACION DE CODIGOS, CONVENIOS, POLIZAS, COMUNICACIONES,  Y PARTICIPANTES</v>
      </c>
      <c r="AI12" s="19">
        <v>11</v>
      </c>
      <c r="AJ12" s="19" t="s">
        <v>88</v>
      </c>
      <c r="AK12" s="19" t="s">
        <v>87</v>
      </c>
      <c r="AL12" s="19" t="s">
        <v>106</v>
      </c>
      <c r="AM12" s="19" t="s">
        <v>107</v>
      </c>
      <c r="AN12" s="19" t="s">
        <v>90</v>
      </c>
      <c r="AO12" s="19"/>
      <c r="AP12" s="19"/>
      <c r="AQ12" s="19"/>
      <c r="AR12" s="19"/>
      <c r="AS12" s="19"/>
      <c r="AT12" s="19"/>
      <c r="AU12" s="19"/>
    </row>
    <row r="13" spans="1:47" ht="75" x14ac:dyDescent="0.2">
      <c r="A13" s="19"/>
      <c r="B13" s="19" t="s">
        <v>93</v>
      </c>
      <c r="C13" s="19" t="s">
        <v>56</v>
      </c>
      <c r="D13" s="19"/>
      <c r="E13" s="19" t="s">
        <v>116</v>
      </c>
      <c r="F13" s="19"/>
      <c r="G13" s="19" t="s">
        <v>117</v>
      </c>
      <c r="H13" s="19"/>
      <c r="I13" s="19" t="str">
        <f>UPPER('[2]TRANSFERENCIA DOCUMENTAL'!$D$27)</f>
        <v>CURSO INTERSEMESTRAL PEI ESPAÑA 2015</v>
      </c>
      <c r="J13" s="19" t="s">
        <v>64</v>
      </c>
      <c r="K13" s="20" t="s">
        <v>118</v>
      </c>
      <c r="L13" s="19" t="s">
        <v>68</v>
      </c>
      <c r="M13" s="24">
        <v>1</v>
      </c>
      <c r="N13" s="19">
        <v>135</v>
      </c>
      <c r="O13" s="19"/>
      <c r="P13" s="20" t="s">
        <v>153</v>
      </c>
      <c r="Q13" s="20" t="s">
        <v>154</v>
      </c>
      <c r="R13" s="19"/>
      <c r="S13" s="19"/>
      <c r="T13" s="19"/>
      <c r="U13" s="19"/>
      <c r="V13" s="19"/>
      <c r="W13" s="19"/>
      <c r="X13" s="19" t="s">
        <v>97</v>
      </c>
      <c r="Y13" s="19" t="s">
        <v>98</v>
      </c>
      <c r="Z13" s="19" t="s">
        <v>99</v>
      </c>
      <c r="AA13" s="19" t="s">
        <v>100</v>
      </c>
      <c r="AB13" s="19" t="s">
        <v>150</v>
      </c>
      <c r="AC13" s="19" t="s">
        <v>156</v>
      </c>
      <c r="AD13" s="19"/>
      <c r="AE13" s="19"/>
      <c r="AF13" s="19" t="s">
        <v>155</v>
      </c>
      <c r="AG13" s="19" t="s">
        <v>107</v>
      </c>
      <c r="AH13" s="19" t="str">
        <f>UPPER('[2]TRANSFERENCIA DOCUMENTAL'!$E$27)</f>
        <v>PROGRAMA ACADEMICO, LISTA DE PARTICIPANTES Y COMUNICACIONES.</v>
      </c>
      <c r="AI13" s="19">
        <v>12</v>
      </c>
      <c r="AJ13" s="19" t="s">
        <v>88</v>
      </c>
      <c r="AK13" s="19" t="s">
        <v>87</v>
      </c>
      <c r="AL13" s="19" t="s">
        <v>106</v>
      </c>
      <c r="AM13" s="19" t="s">
        <v>107</v>
      </c>
      <c r="AN13" s="19" t="s">
        <v>90</v>
      </c>
      <c r="AO13" s="19"/>
      <c r="AP13" s="19"/>
      <c r="AQ13" s="19"/>
      <c r="AR13" s="19"/>
      <c r="AS13" s="19"/>
      <c r="AT13" s="19"/>
      <c r="AU13" s="19"/>
    </row>
    <row r="14" spans="1:47" ht="75" x14ac:dyDescent="0.2">
      <c r="A14" s="19"/>
      <c r="B14" s="19" t="s">
        <v>93</v>
      </c>
      <c r="C14" s="19" t="s">
        <v>56</v>
      </c>
      <c r="D14" s="19"/>
      <c r="E14" s="19" t="s">
        <v>116</v>
      </c>
      <c r="F14" s="19"/>
      <c r="G14" s="19" t="s">
        <v>117</v>
      </c>
      <c r="H14" s="19"/>
      <c r="I14" s="19" t="str">
        <f>UPPER('[2]TRANSFERENCIA DOCUMENTAL'!$D$28)</f>
        <v>CURSO INTERSEMESTRAL ETSAB SUMMER SCHOOL PISO PILOTO 2015</v>
      </c>
      <c r="J14" s="19" t="s">
        <v>64</v>
      </c>
      <c r="K14" s="20" t="s">
        <v>118</v>
      </c>
      <c r="L14" s="19" t="s">
        <v>68</v>
      </c>
      <c r="M14" s="24">
        <v>1</v>
      </c>
      <c r="N14" s="19">
        <v>51</v>
      </c>
      <c r="O14" s="19"/>
      <c r="P14" s="20" t="s">
        <v>157</v>
      </c>
      <c r="Q14" s="20" t="s">
        <v>158</v>
      </c>
      <c r="R14" s="19"/>
      <c r="S14" s="19"/>
      <c r="T14" s="19"/>
      <c r="U14" s="19"/>
      <c r="V14" s="19"/>
      <c r="W14" s="19"/>
      <c r="X14" s="19" t="s">
        <v>97</v>
      </c>
      <c r="Y14" s="19" t="s">
        <v>98</v>
      </c>
      <c r="Z14" s="19" t="s">
        <v>99</v>
      </c>
      <c r="AA14" s="19" t="s">
        <v>100</v>
      </c>
      <c r="AB14" s="19" t="s">
        <v>150</v>
      </c>
      <c r="AC14" s="19" t="s">
        <v>160</v>
      </c>
      <c r="AD14" s="19"/>
      <c r="AE14" s="19"/>
      <c r="AF14" s="19" t="s">
        <v>159</v>
      </c>
      <c r="AG14" s="19" t="s">
        <v>107</v>
      </c>
      <c r="AH14" s="19" t="str">
        <f>UPPER('[2]TRANSFERENCIA DOCUMENTAL'!$E$28)</f>
        <v>PROGRAMA ACADEMICO, LISTA DE PARTICIPANTES Y COMUNICACIONES.</v>
      </c>
      <c r="AI14" s="19">
        <v>13</v>
      </c>
      <c r="AJ14" s="19" t="s">
        <v>88</v>
      </c>
      <c r="AK14" s="19" t="s">
        <v>87</v>
      </c>
      <c r="AL14" s="19" t="s">
        <v>106</v>
      </c>
      <c r="AM14" s="19" t="s">
        <v>107</v>
      </c>
      <c r="AN14" s="19" t="s">
        <v>90</v>
      </c>
      <c r="AO14" s="19"/>
      <c r="AP14" s="19"/>
      <c r="AQ14" s="19"/>
      <c r="AR14" s="19"/>
      <c r="AS14" s="19"/>
      <c r="AT14" s="19"/>
      <c r="AU14" s="19"/>
    </row>
    <row r="15" spans="1:47" ht="75" x14ac:dyDescent="0.2">
      <c r="A15" s="19"/>
      <c r="B15" s="19" t="s">
        <v>93</v>
      </c>
      <c r="C15" s="19" t="s">
        <v>56</v>
      </c>
      <c r="D15" s="19"/>
      <c r="E15" s="19" t="s">
        <v>131</v>
      </c>
      <c r="F15" s="19"/>
      <c r="G15" s="19" t="s">
        <v>132</v>
      </c>
      <c r="H15" s="19"/>
      <c r="I15" s="19" t="str">
        <f>UPPER('[2]TRANSFERENCIA DOCUMENTAL'!$D$29)</f>
        <v>CLASE PROYECTO NUEVOS TERRITORIOS Y WORKSHOPS 2015</v>
      </c>
      <c r="J15" s="19" t="s">
        <v>64</v>
      </c>
      <c r="K15" s="20" t="s">
        <v>118</v>
      </c>
      <c r="L15" s="19" t="s">
        <v>68</v>
      </c>
      <c r="M15" s="24">
        <v>1</v>
      </c>
      <c r="N15" s="19">
        <v>122</v>
      </c>
      <c r="O15" s="19"/>
      <c r="P15" s="20" t="s">
        <v>161</v>
      </c>
      <c r="Q15" s="20" t="s">
        <v>162</v>
      </c>
      <c r="R15" s="19"/>
      <c r="S15" s="19"/>
      <c r="T15" s="19"/>
      <c r="U15" s="19"/>
      <c r="V15" s="19"/>
      <c r="W15" s="19"/>
      <c r="X15" s="19" t="s">
        <v>97</v>
      </c>
      <c r="Y15" s="19" t="s">
        <v>98</v>
      </c>
      <c r="Z15" s="19" t="s">
        <v>99</v>
      </c>
      <c r="AA15" s="19" t="s">
        <v>100</v>
      </c>
      <c r="AB15" s="19" t="s">
        <v>150</v>
      </c>
      <c r="AC15" s="19" t="s">
        <v>164</v>
      </c>
      <c r="AD15" s="19"/>
      <c r="AE15" s="19"/>
      <c r="AF15" s="19" t="s">
        <v>163</v>
      </c>
      <c r="AG15" s="19" t="s">
        <v>107</v>
      </c>
      <c r="AH15" s="19" t="str">
        <f>UPPER('[2]TRANSFERENCIA DOCUMENTAL'!$E$29)</f>
        <v>PROGRAMA, LISTA DE PARTICIPANTES, LISTA DE CLASE, ACTIVIDADES</v>
      </c>
      <c r="AI15" s="19">
        <v>14</v>
      </c>
      <c r="AJ15" s="19" t="s">
        <v>88</v>
      </c>
      <c r="AK15" s="19" t="s">
        <v>87</v>
      </c>
      <c r="AL15" s="19" t="s">
        <v>106</v>
      </c>
      <c r="AM15" s="19" t="s">
        <v>107</v>
      </c>
      <c r="AN15" s="19" t="s">
        <v>90</v>
      </c>
      <c r="AO15" s="19"/>
      <c r="AP15" s="19"/>
      <c r="AQ15" s="19"/>
      <c r="AR15" s="19"/>
      <c r="AS15" s="19"/>
      <c r="AT15" s="19"/>
      <c r="AU15" s="19"/>
    </row>
  </sheetData>
  <autoFilter ref="A1:AU15" xr:uid="{D3539A0C-F31C-A148-BA6E-FCB6DBA83E88}"/>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364BD90-AE49-6F47-B416-5290FA8511FA}">
          <x14:formula1>
            <xm:f>'FormatoGUIA TRDGENERAL'!$A$13:$A$14</xm:f>
          </x14:formula1>
          <xm:sqref>AU2:AU1048576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0C05-402E-A843-8C97-0919E3EEC600}">
  <dimension ref="A1:AU15"/>
  <sheetViews>
    <sheetView topLeftCell="AN1" zoomScale="163" zoomScaleNormal="130" workbookViewId="0">
      <pane ySplit="1" topLeftCell="A2" activePane="bottomLeft" state="frozen"/>
      <selection activeCell="F1" sqref="F1"/>
      <selection pane="bottomLeft" activeCell="AN4" sqref="AN4"/>
    </sheetView>
  </sheetViews>
  <sheetFormatPr baseColWidth="10" defaultColWidth="9.1640625" defaultRowHeight="14" x14ac:dyDescent="0.2"/>
  <cols>
    <col min="1" max="1" width="7.5" style="29" bestFit="1" customWidth="1"/>
    <col min="2" max="3" width="9" style="29" bestFit="1" customWidth="1"/>
    <col min="4" max="4" width="7.33203125" style="29" bestFit="1" customWidth="1"/>
    <col min="5" max="5" width="21.6640625" style="29" bestFit="1" customWidth="1"/>
    <col min="6" max="6" width="9.5" style="29" bestFit="1" customWidth="1"/>
    <col min="7" max="7" width="21.1640625" style="29" customWidth="1"/>
    <col min="8" max="8" width="12.1640625" style="29" bestFit="1" customWidth="1"/>
    <col min="9" max="9" width="18.6640625" style="29" bestFit="1" customWidth="1"/>
    <col min="10" max="10" width="10.83203125" style="29" bestFit="1" customWidth="1"/>
    <col min="11" max="11" width="7.33203125" style="31" bestFit="1" customWidth="1"/>
    <col min="12" max="12" width="11.33203125" style="29" bestFit="1" customWidth="1"/>
    <col min="13" max="13" width="5.83203125" style="29" bestFit="1" customWidth="1"/>
    <col min="14" max="14" width="5.5" style="29" bestFit="1" customWidth="1"/>
    <col min="15" max="15" width="9.33203125" style="29" bestFit="1" customWidth="1"/>
    <col min="16" max="16" width="12.1640625" style="31" customWidth="1"/>
    <col min="17" max="17" width="14.33203125" style="31" customWidth="1"/>
    <col min="18" max="18" width="10.83203125" style="29" bestFit="1" customWidth="1"/>
    <col min="19" max="19" width="11" style="29" bestFit="1" customWidth="1"/>
    <col min="20" max="20" width="5.83203125" style="29" bestFit="1" customWidth="1"/>
    <col min="21" max="21" width="3.5" style="29" bestFit="1" customWidth="1"/>
    <col min="22" max="22" width="3" style="29" bestFit="1" customWidth="1"/>
    <col min="23" max="23" width="8.83203125" style="29" bestFit="1" customWidth="1"/>
    <col min="24" max="24" width="4.6640625" style="29" bestFit="1" customWidth="1"/>
    <col min="25" max="25" width="3.5" style="29" bestFit="1" customWidth="1"/>
    <col min="26" max="26" width="5" style="29" bestFit="1" customWidth="1"/>
    <col min="27" max="27" width="6.6640625" style="29" bestFit="1" customWidth="1"/>
    <col min="28" max="28" width="10.6640625" style="29" bestFit="1" customWidth="1"/>
    <col min="29" max="29" width="11.1640625" style="29" bestFit="1" customWidth="1"/>
    <col min="30" max="31" width="9" style="29" bestFit="1" customWidth="1"/>
    <col min="32" max="32" width="15.6640625" style="29" bestFit="1" customWidth="1"/>
    <col min="33" max="33" width="11.1640625" style="29" customWidth="1"/>
    <col min="34" max="34" width="21.6640625" style="29" customWidth="1"/>
    <col min="35" max="35" width="5.83203125" style="29" customWidth="1"/>
    <col min="36" max="36" width="13.5" style="29" customWidth="1"/>
    <col min="37" max="37" width="21" style="29" customWidth="1"/>
    <col min="38" max="38" width="15.1640625" style="29" customWidth="1"/>
    <col min="39" max="39" width="16.33203125" style="29" customWidth="1"/>
    <col min="40" max="40" width="15.1640625" style="29" customWidth="1"/>
    <col min="41" max="41" width="11.1640625" style="29" bestFit="1" customWidth="1"/>
    <col min="42" max="42" width="9" style="29" bestFit="1" customWidth="1"/>
    <col min="43" max="43" width="14" style="29" bestFit="1" customWidth="1"/>
    <col min="44" max="44" width="10" style="29" bestFit="1" customWidth="1"/>
    <col min="45" max="45" width="12.6640625" style="29" bestFit="1" customWidth="1"/>
    <col min="46" max="46" width="14.6640625" style="29" bestFit="1" customWidth="1"/>
    <col min="47" max="47" width="12" style="29" customWidth="1"/>
    <col min="48" max="16384" width="9.1640625" style="9"/>
  </cols>
  <sheetData>
    <row r="1" spans="1:47" s="14" customFormat="1" ht="24" x14ac:dyDescent="0.2">
      <c r="A1" s="25" t="s">
        <v>0</v>
      </c>
      <c r="B1" s="15" t="s">
        <v>1</v>
      </c>
      <c r="C1" s="15" t="s">
        <v>2</v>
      </c>
      <c r="D1" s="25" t="s">
        <v>3</v>
      </c>
      <c r="E1" s="15" t="s">
        <v>4</v>
      </c>
      <c r="F1" s="25" t="s">
        <v>5</v>
      </c>
      <c r="G1" s="15" t="s">
        <v>6</v>
      </c>
      <c r="H1" s="25" t="s">
        <v>7</v>
      </c>
      <c r="I1" s="15" t="s">
        <v>8</v>
      </c>
      <c r="J1" s="15" t="s">
        <v>9</v>
      </c>
      <c r="K1" s="13" t="s">
        <v>10</v>
      </c>
      <c r="L1" s="15" t="s">
        <v>11</v>
      </c>
      <c r="M1" s="16" t="s">
        <v>12</v>
      </c>
      <c r="N1" s="17" t="s">
        <v>13</v>
      </c>
      <c r="O1" s="17" t="s">
        <v>14</v>
      </c>
      <c r="P1" s="13" t="s">
        <v>15</v>
      </c>
      <c r="Q1" s="13" t="s">
        <v>16</v>
      </c>
      <c r="R1" s="17" t="s">
        <v>17</v>
      </c>
      <c r="S1" s="17" t="s">
        <v>18</v>
      </c>
      <c r="T1" s="27" t="s">
        <v>19</v>
      </c>
      <c r="U1" s="27" t="s">
        <v>20</v>
      </c>
      <c r="V1" s="27" t="s">
        <v>21</v>
      </c>
      <c r="W1" s="2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row>
    <row r="2" spans="1:47" ht="45" x14ac:dyDescent="0.2">
      <c r="A2" s="19"/>
      <c r="B2" s="19" t="s">
        <v>295</v>
      </c>
      <c r="C2" s="19" t="s">
        <v>56</v>
      </c>
      <c r="D2" s="19"/>
      <c r="E2" s="19" t="s">
        <v>296</v>
      </c>
      <c r="F2" s="19"/>
      <c r="G2" s="19" t="s">
        <v>296</v>
      </c>
      <c r="H2" s="19"/>
      <c r="I2" s="19" t="s">
        <v>297</v>
      </c>
      <c r="J2" s="19" t="s">
        <v>64</v>
      </c>
      <c r="K2" s="20" t="s">
        <v>298</v>
      </c>
      <c r="L2" s="19" t="s">
        <v>68</v>
      </c>
      <c r="M2" s="19">
        <v>1</v>
      </c>
      <c r="N2" s="19">
        <v>54</v>
      </c>
      <c r="O2" s="19"/>
      <c r="P2" s="20" t="s">
        <v>301</v>
      </c>
      <c r="Q2" s="20" t="s">
        <v>302</v>
      </c>
      <c r="R2" s="19"/>
      <c r="S2" s="19"/>
      <c r="T2" s="19"/>
      <c r="U2" s="19"/>
      <c r="V2" s="19"/>
      <c r="W2" s="19"/>
      <c r="X2" s="19" t="s">
        <v>97</v>
      </c>
      <c r="Y2" s="19" t="s">
        <v>98</v>
      </c>
      <c r="Z2" s="19" t="s">
        <v>99</v>
      </c>
      <c r="AA2" s="19" t="s">
        <v>100</v>
      </c>
      <c r="AB2" s="19" t="s">
        <v>150</v>
      </c>
      <c r="AC2" s="19" t="s">
        <v>304</v>
      </c>
      <c r="AD2" s="19"/>
      <c r="AE2" s="19"/>
      <c r="AF2" s="19" t="s">
        <v>303</v>
      </c>
      <c r="AG2" s="19" t="s">
        <v>85</v>
      </c>
      <c r="AH2" s="19" t="s">
        <v>297</v>
      </c>
      <c r="AI2" s="19">
        <v>1</v>
      </c>
      <c r="AJ2" s="19" t="s">
        <v>88</v>
      </c>
      <c r="AK2" s="19" t="s">
        <v>87</v>
      </c>
      <c r="AL2" s="19" t="s">
        <v>85</v>
      </c>
      <c r="AM2" s="19" t="s">
        <v>305</v>
      </c>
      <c r="AN2" s="19" t="s">
        <v>90</v>
      </c>
      <c r="AO2" s="19"/>
      <c r="AP2" s="19"/>
      <c r="AQ2" s="19"/>
      <c r="AR2" s="19"/>
      <c r="AS2" s="19"/>
      <c r="AT2" s="19"/>
      <c r="AU2" s="19" t="s">
        <v>51</v>
      </c>
    </row>
    <row r="3" spans="1:47" ht="45" x14ac:dyDescent="0.2">
      <c r="A3" s="19"/>
      <c r="B3" s="19" t="s">
        <v>295</v>
      </c>
      <c r="C3" s="19" t="s">
        <v>56</v>
      </c>
      <c r="D3" s="19"/>
      <c r="E3" s="19" t="s">
        <v>306</v>
      </c>
      <c r="F3" s="19"/>
      <c r="G3" s="19"/>
      <c r="H3" s="19"/>
      <c r="I3" s="19" t="s">
        <v>307</v>
      </c>
      <c r="J3" s="19" t="s">
        <v>64</v>
      </c>
      <c r="K3" s="20" t="s">
        <v>298</v>
      </c>
      <c r="L3" s="19" t="s">
        <v>68</v>
      </c>
      <c r="M3" s="19">
        <v>1</v>
      </c>
      <c r="N3" s="19">
        <v>144</v>
      </c>
      <c r="O3" s="19"/>
      <c r="P3" s="20" t="s">
        <v>308</v>
      </c>
      <c r="Q3" s="20" t="s">
        <v>309</v>
      </c>
      <c r="R3" s="19"/>
      <c r="S3" s="19"/>
      <c r="T3" s="19"/>
      <c r="U3" s="19"/>
      <c r="V3" s="19"/>
      <c r="W3" s="19"/>
      <c r="X3" s="19" t="s">
        <v>97</v>
      </c>
      <c r="Y3" s="19" t="s">
        <v>98</v>
      </c>
      <c r="Z3" s="19" t="s">
        <v>99</v>
      </c>
      <c r="AA3" s="19" t="s">
        <v>100</v>
      </c>
      <c r="AB3" s="19" t="s">
        <v>150</v>
      </c>
      <c r="AC3" s="19" t="s">
        <v>311</v>
      </c>
      <c r="AD3" s="19"/>
      <c r="AE3" s="19"/>
      <c r="AF3" s="19" t="s">
        <v>310</v>
      </c>
      <c r="AG3" s="19" t="s">
        <v>85</v>
      </c>
      <c r="AH3" s="19" t="s">
        <v>312</v>
      </c>
      <c r="AI3" s="19">
        <v>2</v>
      </c>
      <c r="AJ3" s="19" t="s">
        <v>88</v>
      </c>
      <c r="AK3" s="19" t="s">
        <v>87</v>
      </c>
      <c r="AL3" s="19" t="s">
        <v>85</v>
      </c>
      <c r="AM3" s="19" t="s">
        <v>305</v>
      </c>
      <c r="AN3" s="19" t="s">
        <v>90</v>
      </c>
      <c r="AO3" s="19"/>
      <c r="AP3" s="19" t="s">
        <v>313</v>
      </c>
      <c r="AQ3" s="19"/>
      <c r="AR3" s="19"/>
      <c r="AS3" s="19"/>
      <c r="AT3" s="19"/>
      <c r="AU3" s="19" t="s">
        <v>51</v>
      </c>
    </row>
    <row r="4" spans="1:47" ht="45" x14ac:dyDescent="0.2">
      <c r="A4" s="19"/>
      <c r="B4" s="19" t="s">
        <v>295</v>
      </c>
      <c r="C4" s="19" t="s">
        <v>56</v>
      </c>
      <c r="D4" s="19"/>
      <c r="E4" s="19" t="s">
        <v>306</v>
      </c>
      <c r="F4" s="19"/>
      <c r="G4" s="19"/>
      <c r="H4" s="19"/>
      <c r="I4" s="19" t="s">
        <v>314</v>
      </c>
      <c r="J4" s="19" t="s">
        <v>64</v>
      </c>
      <c r="K4" s="20" t="s">
        <v>315</v>
      </c>
      <c r="L4" s="19" t="s">
        <v>68</v>
      </c>
      <c r="M4" s="19">
        <v>1</v>
      </c>
      <c r="N4" s="19">
        <v>11</v>
      </c>
      <c r="O4" s="19"/>
      <c r="P4" s="20" t="s">
        <v>316</v>
      </c>
      <c r="Q4" s="20" t="s">
        <v>317</v>
      </c>
      <c r="R4" s="19"/>
      <c r="S4" s="19"/>
      <c r="T4" s="19"/>
      <c r="U4" s="19"/>
      <c r="V4" s="19"/>
      <c r="W4" s="19"/>
      <c r="X4" s="19" t="s">
        <v>97</v>
      </c>
      <c r="Y4" s="19" t="s">
        <v>98</v>
      </c>
      <c r="Z4" s="19" t="s">
        <v>99</v>
      </c>
      <c r="AA4" s="19" t="s">
        <v>100</v>
      </c>
      <c r="AB4" s="19" t="s">
        <v>150</v>
      </c>
      <c r="AC4" s="19" t="s">
        <v>319</v>
      </c>
      <c r="AD4" s="19"/>
      <c r="AE4" s="19"/>
      <c r="AF4" s="19" t="s">
        <v>318</v>
      </c>
      <c r="AG4" s="19" t="s">
        <v>85</v>
      </c>
      <c r="AH4" s="19" t="s">
        <v>297</v>
      </c>
      <c r="AI4" s="19">
        <v>3</v>
      </c>
      <c r="AJ4" s="19" t="s">
        <v>88</v>
      </c>
      <c r="AK4" s="19" t="s">
        <v>87</v>
      </c>
      <c r="AL4" s="19" t="s">
        <v>85</v>
      </c>
      <c r="AM4" s="19" t="s">
        <v>305</v>
      </c>
      <c r="AN4" s="19" t="s">
        <v>90</v>
      </c>
      <c r="AO4" s="19"/>
      <c r="AP4" s="19"/>
      <c r="AQ4" s="19"/>
      <c r="AR4" s="19"/>
      <c r="AS4" s="19"/>
      <c r="AT4" s="19"/>
      <c r="AU4" s="19" t="s">
        <v>51</v>
      </c>
    </row>
    <row r="5" spans="1:47" ht="45" x14ac:dyDescent="0.2">
      <c r="A5" s="19"/>
      <c r="B5" s="19" t="s">
        <v>295</v>
      </c>
      <c r="C5" s="19" t="s">
        <v>56</v>
      </c>
      <c r="D5" s="19"/>
      <c r="E5" s="19" t="s">
        <v>306</v>
      </c>
      <c r="F5" s="19"/>
      <c r="G5" s="19"/>
      <c r="H5" s="19"/>
      <c r="I5" s="19" t="s">
        <v>314</v>
      </c>
      <c r="J5" s="19" t="s">
        <v>64</v>
      </c>
      <c r="K5" s="20" t="s">
        <v>298</v>
      </c>
      <c r="L5" s="19" t="s">
        <v>68</v>
      </c>
      <c r="M5" s="19">
        <v>2</v>
      </c>
      <c r="N5" s="19">
        <v>40</v>
      </c>
      <c r="O5" s="19"/>
      <c r="P5" s="20" t="s">
        <v>320</v>
      </c>
      <c r="Q5" s="20" t="s">
        <v>321</v>
      </c>
      <c r="R5" s="19"/>
      <c r="S5" s="19"/>
      <c r="T5" s="19"/>
      <c r="U5" s="19"/>
      <c r="V5" s="19"/>
      <c r="W5" s="19"/>
      <c r="X5" s="19" t="s">
        <v>97</v>
      </c>
      <c r="Y5" s="19" t="s">
        <v>98</v>
      </c>
      <c r="Z5" s="19" t="s">
        <v>99</v>
      </c>
      <c r="AA5" s="19" t="s">
        <v>100</v>
      </c>
      <c r="AB5" s="19" t="s">
        <v>150</v>
      </c>
      <c r="AC5" s="19" t="s">
        <v>323</v>
      </c>
      <c r="AD5" s="19"/>
      <c r="AE5" s="19"/>
      <c r="AF5" s="19" t="s">
        <v>322</v>
      </c>
      <c r="AG5" s="19" t="s">
        <v>85</v>
      </c>
      <c r="AH5" s="19" t="s">
        <v>297</v>
      </c>
      <c r="AI5" s="19">
        <v>4</v>
      </c>
      <c r="AJ5" s="19" t="s">
        <v>88</v>
      </c>
      <c r="AK5" s="19" t="s">
        <v>87</v>
      </c>
      <c r="AL5" s="19" t="s">
        <v>85</v>
      </c>
      <c r="AM5" s="19" t="s">
        <v>305</v>
      </c>
      <c r="AN5" s="19" t="s">
        <v>90</v>
      </c>
      <c r="AO5" s="19"/>
      <c r="AP5" s="19"/>
      <c r="AQ5" s="19"/>
      <c r="AR5" s="19"/>
      <c r="AS5" s="19"/>
      <c r="AT5" s="19"/>
      <c r="AU5" s="19" t="s">
        <v>51</v>
      </c>
    </row>
    <row r="6" spans="1:47" x14ac:dyDescent="0.2">
      <c r="A6" s="30"/>
      <c r="B6" s="19"/>
      <c r="C6" s="19"/>
      <c r="D6" s="19"/>
      <c r="E6" s="19"/>
      <c r="F6" s="19"/>
      <c r="G6" s="19"/>
      <c r="H6" s="19"/>
      <c r="I6" s="19"/>
      <c r="J6" s="19"/>
      <c r="K6" s="20"/>
      <c r="L6" s="19"/>
      <c r="M6" s="19"/>
      <c r="N6" s="19"/>
      <c r="O6" s="19"/>
      <c r="P6" s="20"/>
      <c r="Q6" s="20"/>
      <c r="R6" s="19"/>
      <c r="S6" s="19"/>
      <c r="T6" s="19"/>
      <c r="U6" s="19"/>
      <c r="V6" s="19"/>
      <c r="W6" s="19"/>
      <c r="X6" s="19"/>
      <c r="Y6" s="19"/>
      <c r="Z6" s="19"/>
      <c r="AA6" s="19"/>
      <c r="AB6" s="19"/>
      <c r="AC6" s="18"/>
      <c r="AD6" s="19"/>
      <c r="AE6" s="19"/>
      <c r="AF6" s="21"/>
      <c r="AG6" s="19"/>
      <c r="AH6" s="19"/>
      <c r="AI6" s="19"/>
      <c r="AJ6" s="19"/>
      <c r="AK6" s="19"/>
      <c r="AL6" s="19"/>
      <c r="AM6" s="19"/>
      <c r="AN6" s="19"/>
      <c r="AO6" s="19"/>
      <c r="AP6" s="19"/>
      <c r="AQ6" s="19"/>
      <c r="AR6" s="19"/>
      <c r="AS6" s="19"/>
      <c r="AT6" s="19"/>
      <c r="AU6" s="19"/>
    </row>
    <row r="7" spans="1:47" x14ac:dyDescent="0.2">
      <c r="A7" s="19"/>
      <c r="B7" s="19"/>
      <c r="C7" s="19"/>
      <c r="D7" s="19"/>
      <c r="E7" s="19"/>
      <c r="F7" s="19"/>
      <c r="G7" s="19"/>
      <c r="H7" s="19"/>
      <c r="I7" s="19"/>
      <c r="J7" s="19"/>
      <c r="K7" s="20"/>
      <c r="L7" s="19"/>
      <c r="M7" s="19"/>
      <c r="N7" s="19"/>
      <c r="O7" s="19"/>
      <c r="P7" s="20"/>
      <c r="Q7" s="20"/>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row>
    <row r="8" spans="1:47" x14ac:dyDescent="0.2">
      <c r="A8" s="19"/>
      <c r="B8" s="19"/>
      <c r="C8" s="19"/>
      <c r="D8" s="19"/>
      <c r="E8" s="19"/>
      <c r="F8" s="19"/>
      <c r="G8" s="19"/>
      <c r="H8" s="19"/>
      <c r="I8" s="19"/>
      <c r="J8" s="19"/>
      <c r="K8" s="20"/>
      <c r="L8" s="19"/>
      <c r="M8" s="19"/>
      <c r="N8" s="19"/>
      <c r="O8" s="19"/>
      <c r="P8" s="20"/>
      <c r="Q8" s="20"/>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row>
    <row r="9" spans="1:47" x14ac:dyDescent="0.2">
      <c r="A9" s="19"/>
      <c r="B9" s="19"/>
      <c r="C9" s="19"/>
      <c r="D9" s="19"/>
      <c r="E9" s="19"/>
      <c r="F9" s="19"/>
      <c r="G9" s="19"/>
      <c r="H9" s="19"/>
      <c r="I9" s="19"/>
      <c r="J9" s="19"/>
      <c r="K9" s="20"/>
      <c r="L9" s="19"/>
      <c r="M9" s="19"/>
      <c r="N9" s="19"/>
      <c r="O9" s="19"/>
      <c r="P9" s="20"/>
      <c r="Q9" s="20"/>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row>
    <row r="10" spans="1:47" x14ac:dyDescent="0.2">
      <c r="A10" s="19"/>
      <c r="B10" s="19"/>
      <c r="C10" s="19"/>
      <c r="D10" s="19"/>
      <c r="E10" s="19"/>
      <c r="F10" s="19"/>
      <c r="G10" s="19"/>
      <c r="H10" s="19"/>
      <c r="I10" s="19"/>
      <c r="J10" s="19"/>
      <c r="K10" s="20"/>
      <c r="L10" s="19"/>
      <c r="M10" s="19"/>
      <c r="N10" s="19"/>
      <c r="O10" s="19"/>
      <c r="P10" s="20"/>
      <c r="Q10" s="20"/>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row>
    <row r="11" spans="1:47" x14ac:dyDescent="0.2">
      <c r="A11" s="19"/>
      <c r="B11" s="19"/>
      <c r="C11" s="19"/>
      <c r="D11" s="19"/>
      <c r="E11" s="19"/>
      <c r="F11" s="19"/>
      <c r="G11" s="19"/>
      <c r="H11" s="19"/>
      <c r="I11" s="19"/>
      <c r="J11" s="19"/>
      <c r="K11" s="20"/>
      <c r="L11" s="19"/>
      <c r="M11" s="19"/>
      <c r="N11" s="19"/>
      <c r="O11" s="19"/>
      <c r="P11" s="20"/>
      <c r="Q11" s="20"/>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row>
    <row r="12" spans="1:47" x14ac:dyDescent="0.2">
      <c r="A12" s="19"/>
      <c r="B12" s="19"/>
      <c r="C12" s="19"/>
      <c r="D12" s="19"/>
      <c r="E12" s="19"/>
      <c r="F12" s="19"/>
      <c r="G12" s="19"/>
      <c r="H12" s="19"/>
      <c r="I12" s="19"/>
      <c r="J12" s="19"/>
      <c r="K12" s="20"/>
      <c r="L12" s="19"/>
      <c r="M12" s="19"/>
      <c r="N12" s="19"/>
      <c r="O12" s="19"/>
      <c r="P12" s="20"/>
      <c r="Q12" s="20"/>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row>
    <row r="13" spans="1:47" x14ac:dyDescent="0.2">
      <c r="A13" s="19"/>
      <c r="B13" s="19"/>
      <c r="C13" s="19"/>
      <c r="D13" s="19"/>
      <c r="E13" s="19"/>
      <c r="F13" s="19"/>
      <c r="G13" s="19"/>
      <c r="H13" s="19"/>
      <c r="I13" s="19"/>
      <c r="J13" s="19"/>
      <c r="K13" s="20"/>
      <c r="L13" s="19"/>
      <c r="M13" s="19"/>
      <c r="N13" s="19"/>
      <c r="O13" s="19"/>
      <c r="P13" s="20"/>
      <c r="Q13" s="20"/>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row>
    <row r="14" spans="1:47" x14ac:dyDescent="0.2">
      <c r="A14" s="19"/>
      <c r="B14" s="19"/>
      <c r="C14" s="19"/>
      <c r="D14" s="19"/>
      <c r="E14" s="19"/>
      <c r="F14" s="19"/>
      <c r="G14" s="19"/>
      <c r="H14" s="19"/>
      <c r="I14" s="19"/>
      <c r="J14" s="19"/>
      <c r="K14" s="20"/>
      <c r="L14" s="19"/>
      <c r="M14" s="19"/>
      <c r="N14" s="19"/>
      <c r="O14" s="19"/>
      <c r="P14" s="20"/>
      <c r="Q14" s="20"/>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row>
    <row r="15" spans="1:47" x14ac:dyDescent="0.2">
      <c r="A15" s="19"/>
      <c r="B15" s="19"/>
      <c r="C15" s="19"/>
      <c r="D15" s="19"/>
      <c r="E15" s="19"/>
      <c r="F15" s="19"/>
      <c r="G15" s="19"/>
      <c r="H15" s="19"/>
      <c r="I15" s="19"/>
      <c r="J15" s="19"/>
      <c r="K15" s="20"/>
      <c r="L15" s="19"/>
      <c r="M15" s="19"/>
      <c r="N15" s="19"/>
      <c r="O15" s="19"/>
      <c r="P15" s="20"/>
      <c r="Q15" s="20"/>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row>
  </sheetData>
  <autoFilter ref="A1:AU15" xr:uid="{EE37C56B-A8D4-6D42-9ACD-48F217B03FCF}"/>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B733598-7C06-6345-8ABC-7E1AD555B8C7}">
          <x14:formula1>
            <xm:f>'FormatoGUIA TRDGENERAL'!$A$13:$A$14</xm:f>
          </x14:formula1>
          <xm:sqref>AU2:AU1048576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0741-A750-3A4D-A831-73DB2D3201D4}">
  <dimension ref="A1:AU18"/>
  <sheetViews>
    <sheetView topLeftCell="AC1" zoomScale="125" zoomScaleNormal="130" workbookViewId="0">
      <pane ySplit="1" topLeftCell="A2" activePane="bottomLeft" state="frozen"/>
      <selection activeCell="F1" sqref="F1"/>
      <selection pane="bottomLeft" activeCell="AG2" sqref="AG2"/>
    </sheetView>
  </sheetViews>
  <sheetFormatPr baseColWidth="10" defaultColWidth="9.1640625" defaultRowHeight="15" x14ac:dyDescent="0.2"/>
  <cols>
    <col min="1" max="1" width="21.1640625" style="22" bestFit="1" customWidth="1"/>
    <col min="2" max="3" width="9" style="22" bestFit="1" customWidth="1"/>
    <col min="4" max="4" width="7.33203125" style="22" bestFit="1" customWidth="1"/>
    <col min="5" max="5" width="21.6640625" style="22" bestFit="1" customWidth="1"/>
    <col min="6" max="6" width="9.5" style="22" bestFit="1" customWidth="1"/>
    <col min="7" max="7" width="21.1640625" style="22" customWidth="1"/>
    <col min="8" max="8" width="12.1640625" style="22" bestFit="1" customWidth="1"/>
    <col min="9" max="9" width="22.5" style="22" customWidth="1"/>
    <col min="10" max="10" width="10.83203125" style="22" bestFit="1" customWidth="1"/>
    <col min="11" max="11" width="7.33203125" style="23" bestFit="1" customWidth="1"/>
    <col min="12" max="12" width="11.33203125" style="22" bestFit="1" customWidth="1"/>
    <col min="13" max="13" width="5.83203125" style="22" bestFit="1" customWidth="1"/>
    <col min="14" max="14" width="5.5" style="22" bestFit="1" customWidth="1"/>
    <col min="15" max="15" width="9.33203125" style="22" bestFit="1" customWidth="1"/>
    <col min="16" max="16" width="12.1640625" style="23" customWidth="1"/>
    <col min="17" max="17" width="14.33203125" style="23" customWidth="1"/>
    <col min="18" max="18" width="10.83203125" style="22" bestFit="1" customWidth="1"/>
    <col min="19" max="19" width="11" style="22" bestFit="1" customWidth="1"/>
    <col min="20" max="20" width="5.83203125" style="22" bestFit="1" customWidth="1"/>
    <col min="21" max="21" width="3.5" style="22" bestFit="1" customWidth="1"/>
    <col min="22" max="22" width="3" style="22" bestFit="1" customWidth="1"/>
    <col min="23" max="23" width="8.83203125" style="22" bestFit="1" customWidth="1"/>
    <col min="24" max="24" width="4.6640625" style="22" bestFit="1" customWidth="1"/>
    <col min="25" max="25" width="3.5" style="22" bestFit="1" customWidth="1"/>
    <col min="26" max="26" width="5" style="22" bestFit="1" customWidth="1"/>
    <col min="27" max="27" width="6.6640625" style="22" bestFit="1" customWidth="1"/>
    <col min="28" max="28" width="10.6640625" style="22" bestFit="1" customWidth="1"/>
    <col min="29" max="29" width="11.1640625" style="22" bestFit="1" customWidth="1"/>
    <col min="30" max="31" width="9" style="22" bestFit="1" customWidth="1"/>
    <col min="32" max="32" width="15.6640625" style="22" bestFit="1" customWidth="1"/>
    <col min="33" max="33" width="11.1640625" style="22" customWidth="1"/>
    <col min="34" max="34" width="52.1640625" style="22" customWidth="1"/>
    <col min="35" max="35" width="5.83203125" style="22" customWidth="1"/>
    <col min="36" max="36" width="13.5" style="22" customWidth="1"/>
    <col min="37" max="37" width="21" style="22" customWidth="1"/>
    <col min="38" max="38" width="15.1640625" style="22" customWidth="1"/>
    <col min="39" max="39" width="16.33203125" style="22" customWidth="1"/>
    <col min="40" max="40" width="15.1640625" style="22" customWidth="1"/>
    <col min="41" max="41" width="11.1640625" style="22" bestFit="1" customWidth="1"/>
    <col min="42" max="42" width="9" style="22" bestFit="1" customWidth="1"/>
    <col min="43" max="43" width="14" style="22" bestFit="1" customWidth="1"/>
    <col min="44" max="44" width="10" style="22" bestFit="1" customWidth="1"/>
    <col min="45" max="45" width="12.6640625" style="22" bestFit="1" customWidth="1"/>
    <col min="46" max="46" width="14.6640625" style="22" bestFit="1" customWidth="1"/>
    <col min="47" max="47" width="12" style="22" customWidth="1"/>
    <col min="48" max="16384" width="9.1640625" style="14"/>
  </cols>
  <sheetData>
    <row r="1" spans="1:47" ht="24" x14ac:dyDescent="0.2">
      <c r="A1" s="25" t="s">
        <v>0</v>
      </c>
      <c r="B1" s="15" t="s">
        <v>1</v>
      </c>
      <c r="C1" s="15" t="s">
        <v>2</v>
      </c>
      <c r="D1" s="25" t="s">
        <v>3</v>
      </c>
      <c r="E1" s="15" t="s">
        <v>4</v>
      </c>
      <c r="F1" s="25" t="s">
        <v>5</v>
      </c>
      <c r="G1" s="15" t="s">
        <v>6</v>
      </c>
      <c r="H1" s="25" t="s">
        <v>7</v>
      </c>
      <c r="I1" s="15" t="s">
        <v>8</v>
      </c>
      <c r="J1" s="15" t="s">
        <v>9</v>
      </c>
      <c r="K1" s="13" t="s">
        <v>10</v>
      </c>
      <c r="L1" s="15" t="s">
        <v>11</v>
      </c>
      <c r="M1" s="16" t="s">
        <v>12</v>
      </c>
      <c r="N1" s="17" t="s">
        <v>13</v>
      </c>
      <c r="O1" s="17" t="s">
        <v>14</v>
      </c>
      <c r="P1" s="13" t="s">
        <v>15</v>
      </c>
      <c r="Q1" s="13" t="s">
        <v>16</v>
      </c>
      <c r="R1" s="17" t="s">
        <v>17</v>
      </c>
      <c r="S1" s="17" t="s">
        <v>18</v>
      </c>
      <c r="T1" s="27" t="s">
        <v>19</v>
      </c>
      <c r="U1" s="27" t="s">
        <v>20</v>
      </c>
      <c r="V1" s="27" t="s">
        <v>21</v>
      </c>
      <c r="W1" s="2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row>
    <row r="2" spans="1:47" s="9" customFormat="1" ht="255" x14ac:dyDescent="0.2">
      <c r="A2" s="19"/>
      <c r="B2" s="19" t="s">
        <v>324</v>
      </c>
      <c r="C2" s="19" t="s">
        <v>56</v>
      </c>
      <c r="D2" s="19"/>
      <c r="E2" s="19" t="s">
        <v>58</v>
      </c>
      <c r="F2" s="19"/>
      <c r="G2" s="19" t="s">
        <v>325</v>
      </c>
      <c r="H2" s="19"/>
      <c r="I2" s="19" t="s">
        <v>326</v>
      </c>
      <c r="J2" s="19" t="s">
        <v>64</v>
      </c>
      <c r="K2" s="20" t="s">
        <v>327</v>
      </c>
      <c r="L2" s="19" t="s">
        <v>68</v>
      </c>
      <c r="M2" s="19">
        <v>1</v>
      </c>
      <c r="N2" s="24">
        <v>198</v>
      </c>
      <c r="O2" s="19"/>
      <c r="P2" s="20" t="s">
        <v>328</v>
      </c>
      <c r="Q2" s="20" t="s">
        <v>329</v>
      </c>
      <c r="R2" s="19"/>
      <c r="S2" s="19"/>
      <c r="T2" s="19"/>
      <c r="U2" s="19"/>
      <c r="V2" s="19"/>
      <c r="W2" s="19"/>
      <c r="X2" s="19" t="s">
        <v>97</v>
      </c>
      <c r="Y2" s="19" t="s">
        <v>98</v>
      </c>
      <c r="Z2" s="19" t="s">
        <v>99</v>
      </c>
      <c r="AA2" s="19" t="s">
        <v>100</v>
      </c>
      <c r="AB2" s="19" t="s">
        <v>332</v>
      </c>
      <c r="AC2" s="19" t="s">
        <v>331</v>
      </c>
      <c r="AD2" s="19"/>
      <c r="AE2" s="19"/>
      <c r="AF2" s="19" t="s">
        <v>330</v>
      </c>
      <c r="AG2" s="19" t="s">
        <v>85</v>
      </c>
      <c r="AH2" s="19" t="s">
        <v>333</v>
      </c>
      <c r="AI2" s="19">
        <v>1</v>
      </c>
      <c r="AJ2" s="19" t="s">
        <v>88</v>
      </c>
      <c r="AK2" s="19" t="s">
        <v>87</v>
      </c>
      <c r="AL2" s="19" t="s">
        <v>85</v>
      </c>
      <c r="AM2" s="19" t="s">
        <v>334</v>
      </c>
      <c r="AN2" s="19" t="s">
        <v>90</v>
      </c>
      <c r="AO2" s="19"/>
      <c r="AP2" s="19"/>
      <c r="AQ2" s="19"/>
      <c r="AR2" s="19"/>
      <c r="AS2" s="19"/>
      <c r="AT2" s="19"/>
      <c r="AU2" s="19" t="s">
        <v>51</v>
      </c>
    </row>
    <row r="3" spans="1:47" s="9" customFormat="1" ht="165" x14ac:dyDescent="0.2">
      <c r="A3" s="19"/>
      <c r="B3" s="19" t="s">
        <v>324</v>
      </c>
      <c r="C3" s="19" t="s">
        <v>56</v>
      </c>
      <c r="D3" s="19"/>
      <c r="E3" s="19" t="s">
        <v>58</v>
      </c>
      <c r="F3" s="19"/>
      <c r="G3" s="19" t="s">
        <v>325</v>
      </c>
      <c r="H3" s="19"/>
      <c r="I3" s="19" t="s">
        <v>335</v>
      </c>
      <c r="J3" s="19" t="s">
        <v>64</v>
      </c>
      <c r="K3" s="20" t="s">
        <v>95</v>
      </c>
      <c r="L3" s="19" t="s">
        <v>68</v>
      </c>
      <c r="M3" s="19">
        <v>1</v>
      </c>
      <c r="N3" s="19">
        <v>142</v>
      </c>
      <c r="O3" s="19"/>
      <c r="P3" s="20" t="s">
        <v>198</v>
      </c>
      <c r="Q3" s="20" t="s">
        <v>336</v>
      </c>
      <c r="R3" s="19"/>
      <c r="S3" s="19"/>
      <c r="T3" s="19"/>
      <c r="U3" s="19"/>
      <c r="V3" s="19"/>
      <c r="W3" s="19"/>
      <c r="X3" s="19" t="s">
        <v>97</v>
      </c>
      <c r="Y3" s="19" t="s">
        <v>98</v>
      </c>
      <c r="Z3" s="19" t="s">
        <v>99</v>
      </c>
      <c r="AA3" s="19" t="s">
        <v>100</v>
      </c>
      <c r="AB3" s="19" t="s">
        <v>332</v>
      </c>
      <c r="AC3" s="19" t="s">
        <v>338</v>
      </c>
      <c r="AD3" s="19"/>
      <c r="AE3" s="19"/>
      <c r="AF3" s="19" t="s">
        <v>337</v>
      </c>
      <c r="AG3" s="19" t="s">
        <v>85</v>
      </c>
      <c r="AH3" s="19" t="s">
        <v>339</v>
      </c>
      <c r="AI3" s="19">
        <v>2</v>
      </c>
      <c r="AJ3" s="19" t="s">
        <v>88</v>
      </c>
      <c r="AK3" s="19" t="s">
        <v>87</v>
      </c>
      <c r="AL3" s="19" t="s">
        <v>85</v>
      </c>
      <c r="AM3" s="19" t="s">
        <v>334</v>
      </c>
      <c r="AN3" s="19" t="s">
        <v>90</v>
      </c>
      <c r="AO3" s="19"/>
      <c r="AP3" s="19"/>
      <c r="AQ3" s="19"/>
      <c r="AR3" s="19"/>
      <c r="AS3" s="19"/>
      <c r="AT3" s="19"/>
      <c r="AU3" s="19" t="s">
        <v>51</v>
      </c>
    </row>
    <row r="4" spans="1:47" s="9" customFormat="1" ht="75" x14ac:dyDescent="0.2">
      <c r="A4" s="19"/>
      <c r="B4" s="19" t="s">
        <v>324</v>
      </c>
      <c r="C4" s="19" t="s">
        <v>56</v>
      </c>
      <c r="D4" s="19"/>
      <c r="E4" s="19" t="s">
        <v>58</v>
      </c>
      <c r="F4" s="19"/>
      <c r="G4" s="19" t="s">
        <v>325</v>
      </c>
      <c r="H4" s="19"/>
      <c r="I4" s="19" t="s">
        <v>340</v>
      </c>
      <c r="J4" s="19" t="s">
        <v>64</v>
      </c>
      <c r="K4" s="20" t="s">
        <v>123</v>
      </c>
      <c r="L4" s="19" t="s">
        <v>68</v>
      </c>
      <c r="M4" s="19">
        <v>1</v>
      </c>
      <c r="N4" s="19">
        <v>13</v>
      </c>
      <c r="O4" s="19"/>
      <c r="P4" s="20" t="s">
        <v>341</v>
      </c>
      <c r="Q4" s="20" t="s">
        <v>342</v>
      </c>
      <c r="R4" s="19"/>
      <c r="S4" s="19"/>
      <c r="T4" s="19"/>
      <c r="U4" s="19"/>
      <c r="V4" s="19"/>
      <c r="W4" s="19"/>
      <c r="X4" s="19" t="s">
        <v>97</v>
      </c>
      <c r="Y4" s="19" t="s">
        <v>98</v>
      </c>
      <c r="Z4" s="19" t="s">
        <v>99</v>
      </c>
      <c r="AA4" s="19" t="s">
        <v>100</v>
      </c>
      <c r="AB4" s="19" t="s">
        <v>332</v>
      </c>
      <c r="AC4" s="19" t="s">
        <v>344</v>
      </c>
      <c r="AD4" s="19"/>
      <c r="AE4" s="19"/>
      <c r="AF4" s="19" t="s">
        <v>343</v>
      </c>
      <c r="AG4" s="19" t="s">
        <v>85</v>
      </c>
      <c r="AH4" s="19" t="s">
        <v>345</v>
      </c>
      <c r="AI4" s="19">
        <v>3</v>
      </c>
      <c r="AJ4" s="19" t="s">
        <v>88</v>
      </c>
      <c r="AK4" s="19" t="s">
        <v>87</v>
      </c>
      <c r="AL4" s="19" t="s">
        <v>85</v>
      </c>
      <c r="AM4" s="19" t="s">
        <v>334</v>
      </c>
      <c r="AN4" s="19" t="s">
        <v>90</v>
      </c>
      <c r="AO4" s="19"/>
      <c r="AP4" s="19"/>
      <c r="AQ4" s="19"/>
      <c r="AR4" s="19"/>
      <c r="AS4" s="19"/>
      <c r="AT4" s="19"/>
      <c r="AU4" s="19" t="s">
        <v>51</v>
      </c>
    </row>
    <row r="5" spans="1:47" s="9" customFormat="1" ht="165" x14ac:dyDescent="0.2">
      <c r="A5" s="19"/>
      <c r="B5" s="19" t="s">
        <v>324</v>
      </c>
      <c r="C5" s="19" t="s">
        <v>56</v>
      </c>
      <c r="D5" s="19"/>
      <c r="E5" s="19" t="s">
        <v>58</v>
      </c>
      <c r="F5" s="19"/>
      <c r="G5" s="19" t="s">
        <v>325</v>
      </c>
      <c r="H5" s="19"/>
      <c r="I5" s="19" t="s">
        <v>346</v>
      </c>
      <c r="J5" s="19" t="s">
        <v>64</v>
      </c>
      <c r="K5" s="20" t="s">
        <v>118</v>
      </c>
      <c r="L5" s="19" t="s">
        <v>68</v>
      </c>
      <c r="M5" s="19">
        <v>1</v>
      </c>
      <c r="N5" s="19">
        <v>21</v>
      </c>
      <c r="O5" s="19"/>
      <c r="P5" s="20" t="s">
        <v>347</v>
      </c>
      <c r="Q5" s="20" t="s">
        <v>348</v>
      </c>
      <c r="R5" s="19"/>
      <c r="S5" s="19"/>
      <c r="T5" s="19"/>
      <c r="U5" s="19"/>
      <c r="V5" s="19"/>
      <c r="W5" s="19"/>
      <c r="X5" s="19" t="s">
        <v>97</v>
      </c>
      <c r="Y5" s="19" t="s">
        <v>98</v>
      </c>
      <c r="Z5" s="19" t="s">
        <v>99</v>
      </c>
      <c r="AA5" s="19" t="s">
        <v>100</v>
      </c>
      <c r="AB5" s="19" t="s">
        <v>332</v>
      </c>
      <c r="AC5" s="19" t="s">
        <v>355</v>
      </c>
      <c r="AD5" s="19"/>
      <c r="AE5" s="19"/>
      <c r="AF5" s="19" t="s">
        <v>354</v>
      </c>
      <c r="AG5" s="19" t="s">
        <v>85</v>
      </c>
      <c r="AH5" s="19" t="s">
        <v>351</v>
      </c>
      <c r="AI5" s="19">
        <v>4</v>
      </c>
      <c r="AJ5" s="19" t="s">
        <v>88</v>
      </c>
      <c r="AK5" s="19" t="s">
        <v>87</v>
      </c>
      <c r="AL5" s="19" t="s">
        <v>85</v>
      </c>
      <c r="AM5" s="19" t="s">
        <v>334</v>
      </c>
      <c r="AN5" s="19" t="s">
        <v>90</v>
      </c>
      <c r="AO5" s="19"/>
      <c r="AP5" s="19"/>
      <c r="AQ5" s="19"/>
      <c r="AR5" s="19"/>
      <c r="AS5" s="19"/>
      <c r="AT5" s="19"/>
      <c r="AU5" s="19" t="s">
        <v>51</v>
      </c>
    </row>
    <row r="6" spans="1:47" s="9" customFormat="1" ht="105" x14ac:dyDescent="0.2">
      <c r="A6" s="30"/>
      <c r="B6" s="19" t="s">
        <v>324</v>
      </c>
      <c r="C6" s="19" t="s">
        <v>56</v>
      </c>
      <c r="D6" s="19"/>
      <c r="E6" s="19" t="s">
        <v>58</v>
      </c>
      <c r="F6" s="19"/>
      <c r="G6" s="19" t="s">
        <v>325</v>
      </c>
      <c r="H6" s="19"/>
      <c r="I6" s="19" t="s">
        <v>352</v>
      </c>
      <c r="J6" s="19" t="s">
        <v>64</v>
      </c>
      <c r="K6" s="20" t="s">
        <v>202</v>
      </c>
      <c r="L6" s="19" t="s">
        <v>68</v>
      </c>
      <c r="M6" s="19">
        <v>1</v>
      </c>
      <c r="N6" s="19">
        <v>29</v>
      </c>
      <c r="O6" s="19"/>
      <c r="P6" s="20" t="s">
        <v>204</v>
      </c>
      <c r="Q6" s="20" t="s">
        <v>353</v>
      </c>
      <c r="R6" s="19"/>
      <c r="S6" s="19"/>
      <c r="T6" s="19"/>
      <c r="U6" s="19"/>
      <c r="V6" s="19"/>
      <c r="W6" s="19"/>
      <c r="X6" s="19" t="s">
        <v>97</v>
      </c>
      <c r="Y6" s="19" t="s">
        <v>98</v>
      </c>
      <c r="Z6" s="19" t="s">
        <v>99</v>
      </c>
      <c r="AA6" s="19" t="s">
        <v>100</v>
      </c>
      <c r="AB6" s="19" t="s">
        <v>332</v>
      </c>
      <c r="AC6" s="18" t="s">
        <v>350</v>
      </c>
      <c r="AD6" s="19"/>
      <c r="AE6" s="19"/>
      <c r="AF6" s="21" t="s">
        <v>349</v>
      </c>
      <c r="AG6" s="19" t="s">
        <v>85</v>
      </c>
      <c r="AH6" s="19" t="s">
        <v>356</v>
      </c>
      <c r="AI6" s="19">
        <v>5</v>
      </c>
      <c r="AJ6" s="19" t="s">
        <v>88</v>
      </c>
      <c r="AK6" s="19" t="s">
        <v>87</v>
      </c>
      <c r="AL6" s="19" t="s">
        <v>85</v>
      </c>
      <c r="AM6" s="19" t="s">
        <v>334</v>
      </c>
      <c r="AN6" s="19" t="s">
        <v>90</v>
      </c>
      <c r="AO6" s="19"/>
      <c r="AP6" s="19"/>
      <c r="AQ6" s="19"/>
      <c r="AR6" s="19"/>
      <c r="AS6" s="19"/>
      <c r="AT6" s="19"/>
      <c r="AU6" s="19" t="s">
        <v>51</v>
      </c>
    </row>
    <row r="7" spans="1:47" s="9" customFormat="1" ht="180" x14ac:dyDescent="0.2">
      <c r="A7" s="19"/>
      <c r="B7" s="19" t="s">
        <v>324</v>
      </c>
      <c r="C7" s="19" t="s">
        <v>56</v>
      </c>
      <c r="D7" s="19"/>
      <c r="E7" s="19" t="s">
        <v>58</v>
      </c>
      <c r="F7" s="19"/>
      <c r="G7" s="19" t="s">
        <v>325</v>
      </c>
      <c r="H7" s="19"/>
      <c r="I7" s="19" t="s">
        <v>357</v>
      </c>
      <c r="J7" s="19" t="s">
        <v>64</v>
      </c>
      <c r="K7" s="20" t="s">
        <v>358</v>
      </c>
      <c r="L7" s="19" t="s">
        <v>68</v>
      </c>
      <c r="M7" s="19">
        <v>1</v>
      </c>
      <c r="N7" s="19">
        <v>44</v>
      </c>
      <c r="O7" s="19"/>
      <c r="P7" s="20" t="s">
        <v>359</v>
      </c>
      <c r="Q7" s="20" t="s">
        <v>360</v>
      </c>
      <c r="R7" s="19"/>
      <c r="S7" s="19"/>
      <c r="T7" s="19"/>
      <c r="U7" s="19"/>
      <c r="V7" s="19"/>
      <c r="W7" s="19"/>
      <c r="X7" s="19" t="s">
        <v>97</v>
      </c>
      <c r="Y7" s="19" t="s">
        <v>98</v>
      </c>
      <c r="Z7" s="19" t="s">
        <v>99</v>
      </c>
      <c r="AA7" s="19" t="s">
        <v>100</v>
      </c>
      <c r="AB7" s="19" t="s">
        <v>332</v>
      </c>
      <c r="AC7" s="19" t="s">
        <v>362</v>
      </c>
      <c r="AD7" s="19"/>
      <c r="AE7" s="19"/>
      <c r="AF7" s="19" t="s">
        <v>361</v>
      </c>
      <c r="AG7" s="19" t="s">
        <v>85</v>
      </c>
      <c r="AH7" s="19" t="s">
        <v>363</v>
      </c>
      <c r="AI7" s="19">
        <v>6</v>
      </c>
      <c r="AJ7" s="19" t="s">
        <v>88</v>
      </c>
      <c r="AK7" s="19" t="s">
        <v>87</v>
      </c>
      <c r="AL7" s="19" t="s">
        <v>85</v>
      </c>
      <c r="AM7" s="19" t="s">
        <v>334</v>
      </c>
      <c r="AN7" s="19" t="s">
        <v>90</v>
      </c>
      <c r="AO7" s="19"/>
      <c r="AP7" s="19"/>
      <c r="AQ7" s="19"/>
      <c r="AR7" s="19"/>
      <c r="AS7" s="19"/>
      <c r="AT7" s="19"/>
      <c r="AU7" s="19" t="s">
        <v>51</v>
      </c>
    </row>
    <row r="8" spans="1:47" s="9" customFormat="1" ht="180" x14ac:dyDescent="0.2">
      <c r="A8" s="19"/>
      <c r="B8" s="19" t="s">
        <v>324</v>
      </c>
      <c r="C8" s="19" t="s">
        <v>56</v>
      </c>
      <c r="D8" s="19"/>
      <c r="E8" s="19" t="s">
        <v>58</v>
      </c>
      <c r="F8" s="19"/>
      <c r="G8" s="19" t="s">
        <v>325</v>
      </c>
      <c r="H8" s="19"/>
      <c r="I8" s="19" t="s">
        <v>364</v>
      </c>
      <c r="J8" s="19" t="s">
        <v>64</v>
      </c>
      <c r="K8" s="20" t="s">
        <v>315</v>
      </c>
      <c r="L8" s="19" t="s">
        <v>68</v>
      </c>
      <c r="M8" s="19">
        <v>1</v>
      </c>
      <c r="N8" s="19">
        <v>23</v>
      </c>
      <c r="O8" s="19"/>
      <c r="P8" s="20" t="s">
        <v>365</v>
      </c>
      <c r="Q8" s="20" t="s">
        <v>366</v>
      </c>
      <c r="R8" s="19"/>
      <c r="S8" s="19"/>
      <c r="T8" s="19"/>
      <c r="U8" s="19"/>
      <c r="V8" s="19"/>
      <c r="W8" s="19"/>
      <c r="X8" s="19"/>
      <c r="Y8" s="19"/>
      <c r="Z8" s="19"/>
      <c r="AA8" s="19"/>
      <c r="AB8" s="19"/>
      <c r="AC8" s="19"/>
      <c r="AD8" s="19"/>
      <c r="AE8" s="19"/>
      <c r="AF8" s="19"/>
      <c r="AG8" s="19" t="s">
        <v>85</v>
      </c>
      <c r="AH8" s="19" t="s">
        <v>363</v>
      </c>
      <c r="AI8" s="19">
        <v>7</v>
      </c>
      <c r="AJ8" s="19" t="s">
        <v>88</v>
      </c>
      <c r="AK8" s="19" t="s">
        <v>87</v>
      </c>
      <c r="AL8" s="19" t="s">
        <v>85</v>
      </c>
      <c r="AM8" s="19" t="s">
        <v>334</v>
      </c>
      <c r="AN8" s="19"/>
      <c r="AO8" s="19"/>
      <c r="AP8" s="19" t="s">
        <v>367</v>
      </c>
      <c r="AQ8" s="19"/>
      <c r="AR8" s="19"/>
      <c r="AS8" s="19"/>
      <c r="AT8" s="19"/>
      <c r="AU8" s="19" t="s">
        <v>51</v>
      </c>
    </row>
    <row r="9" spans="1:47" s="9" customFormat="1" ht="14" x14ac:dyDescent="0.2">
      <c r="A9" s="29"/>
      <c r="B9" s="29"/>
      <c r="C9" s="29"/>
      <c r="D9" s="29"/>
      <c r="E9" s="29"/>
      <c r="F9" s="29"/>
      <c r="G9" s="29"/>
      <c r="H9" s="29"/>
      <c r="I9" s="29"/>
      <c r="J9" s="29"/>
      <c r="K9" s="31"/>
      <c r="L9" s="29"/>
      <c r="M9" s="29"/>
      <c r="N9" s="29"/>
      <c r="O9" s="29"/>
      <c r="P9" s="31"/>
      <c r="Q9" s="31"/>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row>
    <row r="10" spans="1:47" s="9" customFormat="1" ht="14" x14ac:dyDescent="0.2">
      <c r="A10" s="29"/>
      <c r="B10" s="29"/>
      <c r="C10" s="29"/>
      <c r="D10" s="29"/>
      <c r="E10" s="29"/>
      <c r="F10" s="29"/>
      <c r="G10" s="29"/>
      <c r="H10" s="29"/>
      <c r="I10" s="29"/>
      <c r="J10" s="29"/>
      <c r="K10" s="31"/>
      <c r="L10" s="29"/>
      <c r="M10" s="29"/>
      <c r="N10" s="29"/>
      <c r="O10" s="29"/>
      <c r="P10" s="31"/>
      <c r="Q10" s="31"/>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row>
    <row r="11" spans="1:47" s="9" customFormat="1" ht="14" x14ac:dyDescent="0.2">
      <c r="A11" s="29"/>
      <c r="B11" s="29"/>
      <c r="C11" s="29"/>
      <c r="D11" s="29"/>
      <c r="E11" s="29"/>
      <c r="F11" s="29"/>
      <c r="G11" s="29"/>
      <c r="H11" s="29"/>
      <c r="I11" s="29"/>
      <c r="J11" s="29"/>
      <c r="K11" s="31"/>
      <c r="L11" s="29"/>
      <c r="M11" s="29"/>
      <c r="N11" s="29"/>
      <c r="O11" s="29"/>
      <c r="P11" s="31"/>
      <c r="Q11" s="31"/>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row>
    <row r="12" spans="1:47" s="9" customFormat="1" ht="14" x14ac:dyDescent="0.2">
      <c r="A12" s="29"/>
      <c r="B12" s="29"/>
      <c r="C12" s="29"/>
      <c r="D12" s="29"/>
      <c r="E12" s="29"/>
      <c r="F12" s="29"/>
      <c r="G12" s="29"/>
      <c r="H12" s="29"/>
      <c r="I12" s="29"/>
      <c r="J12" s="29"/>
      <c r="K12" s="31"/>
      <c r="L12" s="29"/>
      <c r="M12" s="29"/>
      <c r="N12" s="29"/>
      <c r="O12" s="29"/>
      <c r="P12" s="31"/>
      <c r="Q12" s="31"/>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row>
    <row r="13" spans="1:47" s="9" customFormat="1" ht="14" x14ac:dyDescent="0.2">
      <c r="A13" s="29"/>
      <c r="B13" s="29"/>
      <c r="C13" s="29"/>
      <c r="D13" s="29"/>
      <c r="E13" s="29"/>
      <c r="F13" s="29"/>
      <c r="G13" s="29"/>
      <c r="H13" s="29"/>
      <c r="I13" s="29"/>
      <c r="J13" s="29"/>
      <c r="K13" s="31"/>
      <c r="L13" s="29"/>
      <c r="M13" s="29"/>
      <c r="N13" s="29"/>
      <c r="O13" s="29"/>
      <c r="P13" s="31"/>
      <c r="Q13" s="31"/>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row>
    <row r="14" spans="1:47" s="9" customFormat="1" ht="14" x14ac:dyDescent="0.2">
      <c r="A14" s="29"/>
      <c r="B14" s="29"/>
      <c r="C14" s="29"/>
      <c r="D14" s="29"/>
      <c r="E14" s="29"/>
      <c r="F14" s="29"/>
      <c r="G14" s="29"/>
      <c r="H14" s="29"/>
      <c r="I14" s="29"/>
      <c r="J14" s="29"/>
      <c r="K14" s="31"/>
      <c r="L14" s="29"/>
      <c r="M14" s="29"/>
      <c r="N14" s="29"/>
      <c r="O14" s="29"/>
      <c r="P14" s="31"/>
      <c r="Q14" s="31"/>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row>
    <row r="15" spans="1:47" s="9" customFormat="1" ht="14" x14ac:dyDescent="0.2">
      <c r="A15" s="29"/>
      <c r="B15" s="29"/>
      <c r="C15" s="29"/>
      <c r="D15" s="29"/>
      <c r="E15" s="29"/>
      <c r="F15" s="29"/>
      <c r="G15" s="29"/>
      <c r="H15" s="29"/>
      <c r="I15" s="29"/>
      <c r="J15" s="29"/>
      <c r="K15" s="31"/>
      <c r="L15" s="29"/>
      <c r="M15" s="29"/>
      <c r="N15" s="29"/>
      <c r="O15" s="29"/>
      <c r="P15" s="31"/>
      <c r="Q15" s="31"/>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row>
    <row r="16" spans="1:47" s="9" customFormat="1" ht="14" x14ac:dyDescent="0.2">
      <c r="A16" s="29"/>
      <c r="B16" s="29"/>
      <c r="C16" s="29"/>
      <c r="D16" s="29"/>
      <c r="E16" s="29"/>
      <c r="F16" s="29"/>
      <c r="G16" s="29"/>
      <c r="H16" s="29"/>
      <c r="I16" s="29"/>
      <c r="J16" s="29"/>
      <c r="K16" s="31"/>
      <c r="L16" s="29"/>
      <c r="M16" s="29"/>
      <c r="N16" s="29"/>
      <c r="O16" s="29"/>
      <c r="P16" s="31"/>
      <c r="Q16" s="31"/>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row>
    <row r="17" spans="1:17" s="29" customFormat="1" ht="14" x14ac:dyDescent="0.2">
      <c r="A17" s="32"/>
      <c r="K17" s="31"/>
      <c r="P17" s="31"/>
      <c r="Q17" s="31"/>
    </row>
    <row r="18" spans="1:17" s="29" customFormat="1" ht="45" x14ac:dyDescent="0.2">
      <c r="A18" s="34" t="s">
        <v>300</v>
      </c>
      <c r="K18" s="31"/>
      <c r="P18" s="31"/>
      <c r="Q18" s="31"/>
    </row>
  </sheetData>
  <autoFilter ref="A1:AU12" xr:uid="{BD9EBA7B-D3D9-1A49-808C-1DDBB85BDD97}"/>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6D7544B-91FC-3845-B40A-4B66F013D2EB}">
          <x14:formula1>
            <xm:f>'FormatoGUIA TRDGENERAL'!$A$13:$A$14</xm:f>
          </x14:formula1>
          <xm:sqref>AU2:AU1048576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4D2A-D8EF-BC4F-A9E4-EC7EE468C442}">
  <dimension ref="A1:AU15"/>
  <sheetViews>
    <sheetView tabSelected="1" zoomScale="125" zoomScaleNormal="135" workbookViewId="0">
      <pane ySplit="1" topLeftCell="A2" activePane="bottomLeft" state="frozen"/>
      <selection pane="bottomLeft" activeCell="E3" sqref="E3"/>
    </sheetView>
  </sheetViews>
  <sheetFormatPr baseColWidth="10" defaultColWidth="9.1640625" defaultRowHeight="14" x14ac:dyDescent="0.2"/>
  <cols>
    <col min="1" max="3" width="9.1640625" style="35"/>
    <col min="4" max="4" width="17.33203125" style="35" customWidth="1"/>
    <col min="5" max="6" width="16.1640625" style="35" customWidth="1"/>
    <col min="7" max="7" width="11.5" style="35" customWidth="1"/>
    <col min="8" max="8" width="16.1640625" style="35" customWidth="1"/>
    <col min="9" max="9" width="17" style="35" customWidth="1"/>
    <col min="10" max="10" width="16.1640625" style="35" customWidth="1"/>
    <col min="11" max="11" width="10.1640625" style="35" bestFit="1" customWidth="1"/>
    <col min="12" max="12" width="20.83203125" style="35" customWidth="1"/>
    <col min="13" max="13" width="5.83203125" style="35" bestFit="1" customWidth="1"/>
    <col min="14" max="15" width="9.1640625" style="35"/>
    <col min="16" max="16" width="15.1640625" style="36" customWidth="1"/>
    <col min="17" max="17" width="16.33203125" style="36" customWidth="1"/>
    <col min="18" max="19" width="11.1640625" style="35" bestFit="1" customWidth="1"/>
    <col min="20" max="27" width="9.1640625" style="35"/>
    <col min="28" max="28" width="14.5" style="35" bestFit="1" customWidth="1"/>
    <col min="29" max="29" width="11.1640625" style="35" bestFit="1" customWidth="1"/>
    <col min="30" max="31" width="9.1640625" style="35"/>
    <col min="32" max="32" width="20.5" style="35" bestFit="1" customWidth="1"/>
    <col min="33" max="33" width="15.1640625" style="35" bestFit="1" customWidth="1"/>
    <col min="34" max="34" width="28.33203125" style="35" customWidth="1"/>
    <col min="35" max="40" width="15.1640625" style="35" customWidth="1"/>
    <col min="41" max="41" width="21.5" style="35" customWidth="1"/>
    <col min="42" max="46" width="15.1640625" style="35" customWidth="1"/>
    <col min="47" max="47" width="20.5" style="35" customWidth="1"/>
    <col min="48" max="16384" width="9.1640625" style="35"/>
  </cols>
  <sheetData>
    <row r="1" spans="1:47" s="43" customFormat="1" ht="24" x14ac:dyDescent="0.2">
      <c r="A1" s="37" t="s">
        <v>0</v>
      </c>
      <c r="B1" s="38" t="s">
        <v>1</v>
      </c>
      <c r="C1" s="38" t="s">
        <v>2</v>
      </c>
      <c r="D1" s="37" t="s">
        <v>3</v>
      </c>
      <c r="E1" s="38" t="s">
        <v>4</v>
      </c>
      <c r="F1" s="37" t="s">
        <v>5</v>
      </c>
      <c r="G1" s="38" t="s">
        <v>6</v>
      </c>
      <c r="H1" s="37" t="s">
        <v>7</v>
      </c>
      <c r="I1" s="38" t="s">
        <v>8</v>
      </c>
      <c r="J1" s="38" t="s">
        <v>9</v>
      </c>
      <c r="K1" s="39" t="s">
        <v>10</v>
      </c>
      <c r="L1" s="38" t="s">
        <v>11</v>
      </c>
      <c r="M1" s="40" t="s">
        <v>12</v>
      </c>
      <c r="N1" s="41" t="s">
        <v>13</v>
      </c>
      <c r="O1" s="41" t="s">
        <v>14</v>
      </c>
      <c r="P1" s="39" t="s">
        <v>15</v>
      </c>
      <c r="Q1" s="39" t="s">
        <v>16</v>
      </c>
      <c r="R1" s="41" t="s">
        <v>17</v>
      </c>
      <c r="S1" s="41" t="s">
        <v>18</v>
      </c>
      <c r="T1" s="42" t="s">
        <v>19</v>
      </c>
      <c r="U1" s="42" t="s">
        <v>20</v>
      </c>
      <c r="V1" s="42" t="s">
        <v>21</v>
      </c>
      <c r="W1" s="42" t="s">
        <v>22</v>
      </c>
      <c r="X1" s="41" t="s">
        <v>23</v>
      </c>
      <c r="Y1" s="41" t="s">
        <v>24</v>
      </c>
      <c r="Z1" s="41" t="s">
        <v>25</v>
      </c>
      <c r="AA1" s="41" t="s">
        <v>26</v>
      </c>
      <c r="AB1" s="41" t="s">
        <v>27</v>
      </c>
      <c r="AC1" s="41" t="s">
        <v>28</v>
      </c>
      <c r="AD1" s="41" t="s">
        <v>29</v>
      </c>
      <c r="AE1" s="41" t="s">
        <v>30</v>
      </c>
      <c r="AF1" s="41" t="s">
        <v>31</v>
      </c>
      <c r="AG1" s="41" t="s">
        <v>32</v>
      </c>
      <c r="AH1" s="41" t="s">
        <v>33</v>
      </c>
      <c r="AI1" s="41" t="s">
        <v>34</v>
      </c>
      <c r="AJ1" s="41" t="s">
        <v>35</v>
      </c>
      <c r="AK1" s="41" t="s">
        <v>36</v>
      </c>
      <c r="AL1" s="41" t="s">
        <v>37</v>
      </c>
      <c r="AM1" s="41" t="s">
        <v>38</v>
      </c>
      <c r="AN1" s="41" t="s">
        <v>39</v>
      </c>
      <c r="AO1" s="41" t="s">
        <v>40</v>
      </c>
      <c r="AP1" s="41" t="s">
        <v>41</v>
      </c>
      <c r="AQ1" s="41" t="s">
        <v>42</v>
      </c>
      <c r="AR1" s="41" t="s">
        <v>43</v>
      </c>
      <c r="AS1" s="41" t="s">
        <v>44</v>
      </c>
      <c r="AT1" s="41" t="s">
        <v>45</v>
      </c>
      <c r="AU1" s="41" t="s">
        <v>46</v>
      </c>
    </row>
    <row r="2" spans="1:47" ht="156" customHeight="1" x14ac:dyDescent="0.2">
      <c r="A2" s="44"/>
      <c r="B2" s="44" t="s">
        <v>368</v>
      </c>
      <c r="C2" s="44" t="s">
        <v>56</v>
      </c>
      <c r="D2" s="44"/>
      <c r="E2" s="44" t="s">
        <v>369</v>
      </c>
      <c r="F2" s="44"/>
      <c r="G2" s="44" t="str">
        <f>UPPER('[3]Transferencia Documental'!$C$15)</f>
        <v>ACREDITACION DE PROGRAMAS ACADEMICOS</v>
      </c>
      <c r="H2" s="44"/>
      <c r="I2" s="44" t="str">
        <f>UPPER('[3]Transferencia Documental'!$D$15)</f>
        <v>ACREDITACION INTERNACIONAL ANTE EL ACREDITACION INTERNACIONAL ROYAL INSTITUTE OF BRITISH ARCHITECTS – RIBA</v>
      </c>
      <c r="J2" s="44" t="s">
        <v>64</v>
      </c>
      <c r="K2" s="44">
        <v>2004</v>
      </c>
      <c r="L2" s="44" t="s">
        <v>68</v>
      </c>
      <c r="M2" s="44">
        <v>1</v>
      </c>
      <c r="N2" s="44">
        <v>101</v>
      </c>
      <c r="O2" s="44"/>
      <c r="P2" s="45" t="s">
        <v>370</v>
      </c>
      <c r="Q2" s="45" t="s">
        <v>371</v>
      </c>
      <c r="R2" s="44"/>
      <c r="S2" s="44"/>
      <c r="T2" s="44"/>
      <c r="U2" s="44"/>
      <c r="V2" s="44"/>
      <c r="W2" s="44"/>
      <c r="X2" s="44" t="s">
        <v>376</v>
      </c>
      <c r="Y2" s="44" t="s">
        <v>77</v>
      </c>
      <c r="Z2" s="44" t="s">
        <v>78</v>
      </c>
      <c r="AA2" s="44" t="s">
        <v>375</v>
      </c>
      <c r="AB2" s="44" t="s">
        <v>374</v>
      </c>
      <c r="AC2" s="44" t="s">
        <v>373</v>
      </c>
      <c r="AD2" s="44"/>
      <c r="AE2" s="44"/>
      <c r="AF2" s="44" t="s">
        <v>372</v>
      </c>
      <c r="AG2" s="44" t="s">
        <v>85</v>
      </c>
      <c r="AH2" s="44" t="str">
        <f>UPPER('[3]Transferencia Documental'!$E$15)</f>
        <v>COMUNICADOS OFICIALES, DOCUMENTO PARA LA ACREDITACION, SYLLABUS DEL PROGRAMA</v>
      </c>
      <c r="AI2" s="44">
        <v>1</v>
      </c>
      <c r="AJ2" s="44" t="s">
        <v>88</v>
      </c>
      <c r="AK2" s="44" t="s">
        <v>87</v>
      </c>
      <c r="AL2" s="44" t="s">
        <v>85</v>
      </c>
      <c r="AM2" s="44" t="s">
        <v>377</v>
      </c>
      <c r="AN2" s="44" t="s">
        <v>90</v>
      </c>
      <c r="AO2" s="44"/>
      <c r="AP2" s="44"/>
      <c r="AQ2" s="44"/>
      <c r="AR2" s="44"/>
      <c r="AS2" s="44"/>
      <c r="AT2" s="44"/>
      <c r="AU2" s="44" t="s">
        <v>51</v>
      </c>
    </row>
    <row r="3" spans="1:47" ht="105" x14ac:dyDescent="0.2">
      <c r="A3" s="44"/>
      <c r="B3" s="44" t="s">
        <v>368</v>
      </c>
      <c r="C3" s="44" t="s">
        <v>56</v>
      </c>
      <c r="D3" s="44"/>
      <c r="E3" s="44" t="s">
        <v>369</v>
      </c>
      <c r="F3" s="44"/>
      <c r="G3" s="44" t="str">
        <f>UPPER('[3]Transferencia Documental'!$C$15)</f>
        <v>ACREDITACION DE PROGRAMAS ACADEMICOS</v>
      </c>
      <c r="H3" s="44"/>
      <c r="I3" s="44" t="str">
        <f>UPPER('[3]Transferencia Documental'!$D$16)</f>
        <v>ACREDITACION INTERNACIONAL ANTE EL ACREDITACION INTERNACIONAL ROYAL INSTITUTE OF BRITISH ARCHITECTS – RIBA</v>
      </c>
      <c r="J3" s="44" t="s">
        <v>64</v>
      </c>
      <c r="K3" s="45" t="s">
        <v>378</v>
      </c>
      <c r="L3" s="44" t="s">
        <v>68</v>
      </c>
      <c r="M3" s="44">
        <v>2</v>
      </c>
      <c r="N3" s="44">
        <v>97</v>
      </c>
      <c r="O3" s="44"/>
      <c r="P3" s="45" t="s">
        <v>379</v>
      </c>
      <c r="Q3" s="45" t="s">
        <v>380</v>
      </c>
      <c r="R3" s="44"/>
      <c r="S3" s="44"/>
      <c r="T3" s="44"/>
      <c r="U3" s="44"/>
      <c r="V3" s="44"/>
      <c r="W3" s="44"/>
      <c r="X3" s="44" t="s">
        <v>376</v>
      </c>
      <c r="Y3" s="44" t="s">
        <v>77</v>
      </c>
      <c r="Z3" s="44" t="s">
        <v>78</v>
      </c>
      <c r="AA3" s="44" t="s">
        <v>375</v>
      </c>
      <c r="AB3" s="44" t="s">
        <v>374</v>
      </c>
      <c r="AC3" s="44" t="s">
        <v>382</v>
      </c>
      <c r="AD3" s="44"/>
      <c r="AE3" s="44"/>
      <c r="AF3" s="44" t="s">
        <v>381</v>
      </c>
      <c r="AG3" s="44" t="s">
        <v>85</v>
      </c>
      <c r="AH3" s="44" t="str">
        <f>UPPER('[3]Transferencia Documental'!$E$16)</f>
        <v>COMUNICADOS OFICIALES, DOCUMENTO PARA LA ACREDITACION, SYLLABUS DEL PROGRAMA, CORREOS ELECTRONICOS</v>
      </c>
      <c r="AI3" s="44">
        <v>2</v>
      </c>
      <c r="AJ3" s="44" t="s">
        <v>88</v>
      </c>
      <c r="AK3" s="44" t="s">
        <v>87</v>
      </c>
      <c r="AL3" s="44" t="s">
        <v>85</v>
      </c>
      <c r="AM3" s="44" t="s">
        <v>377</v>
      </c>
      <c r="AN3" s="44" t="s">
        <v>90</v>
      </c>
      <c r="AO3" s="44"/>
      <c r="AP3" s="44"/>
      <c r="AQ3" s="44"/>
      <c r="AR3" s="44"/>
      <c r="AS3" s="44"/>
      <c r="AT3" s="44"/>
      <c r="AU3" s="44" t="s">
        <v>51</v>
      </c>
    </row>
    <row r="4" spans="1:47" ht="105" x14ac:dyDescent="0.2">
      <c r="A4" s="44"/>
      <c r="B4" s="44" t="s">
        <v>368</v>
      </c>
      <c r="C4" s="44" t="s">
        <v>56</v>
      </c>
      <c r="D4" s="44"/>
      <c r="E4" s="44" t="s">
        <v>369</v>
      </c>
      <c r="F4" s="44"/>
      <c r="G4" s="44" t="str">
        <f>UPPER('[3]Transferencia Documental'!$C$15)</f>
        <v>ACREDITACION DE PROGRAMAS ACADEMICOS</v>
      </c>
      <c r="H4" s="44"/>
      <c r="I4" s="44" t="str">
        <f>UPPER('[3]Transferencia Documental'!$D$17)</f>
        <v>ACREDITACION INTERNACIONAL ANTE EL ACREDITACION INTERNACIONAL ROYAL INSTITUTE OF BRITISH ARCHITECTS – RIBA</v>
      </c>
      <c r="J4" s="44" t="s">
        <v>64</v>
      </c>
      <c r="K4" s="44">
        <v>2005</v>
      </c>
      <c r="L4" s="44" t="s">
        <v>68</v>
      </c>
      <c r="M4" s="44">
        <v>3</v>
      </c>
      <c r="N4" s="44">
        <v>83</v>
      </c>
      <c r="O4" s="44"/>
      <c r="P4" s="45" t="s">
        <v>383</v>
      </c>
      <c r="Q4" s="45" t="s">
        <v>384</v>
      </c>
      <c r="R4" s="44"/>
      <c r="S4" s="44"/>
      <c r="T4" s="44"/>
      <c r="U4" s="44"/>
      <c r="V4" s="44"/>
      <c r="W4" s="44"/>
      <c r="X4" s="44" t="s">
        <v>376</v>
      </c>
      <c r="Y4" s="44" t="s">
        <v>77</v>
      </c>
      <c r="Z4" s="44" t="s">
        <v>78</v>
      </c>
      <c r="AA4" s="44" t="s">
        <v>375</v>
      </c>
      <c r="AB4" s="44" t="s">
        <v>374</v>
      </c>
      <c r="AC4" s="44" t="s">
        <v>386</v>
      </c>
      <c r="AD4" s="44"/>
      <c r="AE4" s="44"/>
      <c r="AF4" s="44" t="s">
        <v>385</v>
      </c>
      <c r="AG4" s="44" t="s">
        <v>85</v>
      </c>
      <c r="AH4" s="44" t="str">
        <f>UPPER('[3]Transferencia Documental'!$E$17)</f>
        <v>COMUNICADOS OFICIALES, DOCUMENTO PARA LA ACREDITACION, SYLLABUS DEL PROGRAMA, CORREOS ELECTRONICOS</v>
      </c>
      <c r="AI4" s="44">
        <v>3</v>
      </c>
      <c r="AJ4" s="44" t="s">
        <v>88</v>
      </c>
      <c r="AK4" s="44" t="s">
        <v>87</v>
      </c>
      <c r="AL4" s="44" t="s">
        <v>85</v>
      </c>
      <c r="AM4" s="44" t="s">
        <v>377</v>
      </c>
      <c r="AN4" s="44" t="s">
        <v>90</v>
      </c>
      <c r="AO4" s="44"/>
      <c r="AP4" s="44"/>
      <c r="AQ4" s="44"/>
      <c r="AR4" s="44"/>
      <c r="AS4" s="44"/>
      <c r="AT4" s="44"/>
      <c r="AU4" s="44" t="s">
        <v>51</v>
      </c>
    </row>
    <row r="5" spans="1:47" ht="105" x14ac:dyDescent="0.2">
      <c r="A5" s="44"/>
      <c r="B5" s="44" t="s">
        <v>368</v>
      </c>
      <c r="C5" s="44" t="s">
        <v>56</v>
      </c>
      <c r="D5" s="44"/>
      <c r="E5" s="44" t="s">
        <v>369</v>
      </c>
      <c r="F5" s="44"/>
      <c r="G5" s="44" t="str">
        <f>UPPER('[3]Transferencia Documental'!$C$15)</f>
        <v>ACREDITACION DE PROGRAMAS ACADEMICOS</v>
      </c>
      <c r="H5" s="44"/>
      <c r="I5" s="44" t="str">
        <f>UPPER('[3]Transferencia Documental'!$D$18)</f>
        <v>ACREDITACION INTERNACIONAL ANTE EL ACREDITACION INTERNACIONAL ROYAL INSTITUTE OF BRITISH ARCHITECTS – RIBA (1/2)</v>
      </c>
      <c r="J5" s="44" t="s">
        <v>64</v>
      </c>
      <c r="K5" s="44">
        <v>2006</v>
      </c>
      <c r="L5" s="44" t="s">
        <v>68</v>
      </c>
      <c r="M5" s="44">
        <v>1</v>
      </c>
      <c r="N5" s="44">
        <v>200</v>
      </c>
      <c r="O5" s="44"/>
      <c r="P5" s="45" t="s">
        <v>387</v>
      </c>
      <c r="Q5" s="45" t="s">
        <v>388</v>
      </c>
      <c r="R5" s="44"/>
      <c r="S5" s="44"/>
      <c r="T5" s="44"/>
      <c r="U5" s="44"/>
      <c r="V5" s="44"/>
      <c r="W5" s="44"/>
      <c r="X5" s="44" t="s">
        <v>376</v>
      </c>
      <c r="Y5" s="44" t="s">
        <v>77</v>
      </c>
      <c r="Z5" s="44" t="s">
        <v>78</v>
      </c>
      <c r="AA5" s="44" t="s">
        <v>375</v>
      </c>
      <c r="AB5" s="44" t="s">
        <v>374</v>
      </c>
      <c r="AC5" s="44" t="s">
        <v>390</v>
      </c>
      <c r="AD5" s="44"/>
      <c r="AE5" s="44"/>
      <c r="AF5" s="44" t="s">
        <v>389</v>
      </c>
      <c r="AG5" s="44" t="s">
        <v>85</v>
      </c>
      <c r="AH5" s="44" t="str">
        <f>UPPER('[3]Transferencia Documental'!$E$18)</f>
        <v>COMUNICADOS OFICIALES, DOCUMENTO PARA LA ACREDITACION, SYLLABUS DEL PROGRAMA, CORREOS ELECTRONICOS</v>
      </c>
      <c r="AI5" s="44">
        <v>4</v>
      </c>
      <c r="AJ5" s="44" t="s">
        <v>88</v>
      </c>
      <c r="AK5" s="44" t="s">
        <v>87</v>
      </c>
      <c r="AL5" s="44" t="s">
        <v>85</v>
      </c>
      <c r="AM5" s="44" t="s">
        <v>377</v>
      </c>
      <c r="AN5" s="44" t="s">
        <v>90</v>
      </c>
      <c r="AO5" s="44"/>
      <c r="AP5" s="44" t="str">
        <f>UPPER('[3]Transferencia Documental'!$S$18)</f>
        <v>CARPETA 1 DE 2</v>
      </c>
      <c r="AQ5" s="44"/>
      <c r="AR5" s="44"/>
      <c r="AS5" s="44"/>
      <c r="AT5" s="44"/>
      <c r="AU5" s="44" t="s">
        <v>51</v>
      </c>
    </row>
    <row r="6" spans="1:47" ht="105" x14ac:dyDescent="0.2">
      <c r="A6" s="44"/>
      <c r="B6" s="44" t="s">
        <v>368</v>
      </c>
      <c r="C6" s="44" t="s">
        <v>56</v>
      </c>
      <c r="D6" s="44"/>
      <c r="E6" s="44" t="s">
        <v>369</v>
      </c>
      <c r="F6" s="44"/>
      <c r="G6" s="44" t="str">
        <f>UPPER('[3]Transferencia Documental'!$C$15)</f>
        <v>ACREDITACION DE PROGRAMAS ACADEMICOS</v>
      </c>
      <c r="H6" s="44"/>
      <c r="I6" s="44" t="str">
        <f>UPPER('[3]Transferencia Documental'!$D$19)</f>
        <v>ACREDITACION INTERNACIONAL ANTE EL ACREDITACION INTERNACIONAL ROYAL INSTITUTE OF BRITISH ARCHITECTS – RIBA (2/2)</v>
      </c>
      <c r="J6" s="44" t="s">
        <v>64</v>
      </c>
      <c r="K6" s="44">
        <v>2006</v>
      </c>
      <c r="L6" s="44" t="s">
        <v>68</v>
      </c>
      <c r="M6" s="44">
        <v>1</v>
      </c>
      <c r="N6" s="44">
        <v>40</v>
      </c>
      <c r="O6" s="44"/>
      <c r="P6" s="45" t="s">
        <v>387</v>
      </c>
      <c r="Q6" s="45" t="s">
        <v>388</v>
      </c>
      <c r="R6" s="44"/>
      <c r="S6" s="44"/>
      <c r="T6" s="44"/>
      <c r="U6" s="44"/>
      <c r="V6" s="44"/>
      <c r="W6" s="44"/>
      <c r="X6" s="44" t="s">
        <v>376</v>
      </c>
      <c r="Y6" s="44" t="s">
        <v>77</v>
      </c>
      <c r="Z6" s="44" t="s">
        <v>78</v>
      </c>
      <c r="AA6" s="44" t="s">
        <v>375</v>
      </c>
      <c r="AB6" s="44" t="s">
        <v>374</v>
      </c>
      <c r="AC6" s="7" t="s">
        <v>392</v>
      </c>
      <c r="AD6" s="44"/>
      <c r="AE6" s="44"/>
      <c r="AF6" s="7" t="s">
        <v>391</v>
      </c>
      <c r="AG6" s="44" t="s">
        <v>85</v>
      </c>
      <c r="AH6" s="44" t="str">
        <f>UPPER('[3]Transferencia Documental'!$E$19)</f>
        <v xml:space="preserve">CONTINUACION  DOCUMENTO PARA LA ACREDITACION, SYLLABUS DEL PROGRAMA </v>
      </c>
      <c r="AI6" s="44">
        <v>5</v>
      </c>
      <c r="AJ6" s="44" t="s">
        <v>88</v>
      </c>
      <c r="AK6" s="44" t="s">
        <v>87</v>
      </c>
      <c r="AL6" s="44" t="s">
        <v>85</v>
      </c>
      <c r="AM6" s="44" t="s">
        <v>377</v>
      </c>
      <c r="AN6" s="44" t="s">
        <v>90</v>
      </c>
      <c r="AO6" s="44"/>
      <c r="AP6" s="44" t="str">
        <f>UPPER('[3]Transferencia Documental'!$S$19)</f>
        <v>CARPETA 2/2</v>
      </c>
      <c r="AQ6" s="44"/>
      <c r="AR6" s="44"/>
      <c r="AS6" s="44"/>
      <c r="AT6" s="44"/>
      <c r="AU6" s="44" t="s">
        <v>51</v>
      </c>
    </row>
    <row r="7" spans="1:47" ht="105" x14ac:dyDescent="0.2">
      <c r="A7" s="44"/>
      <c r="B7" s="44" t="s">
        <v>368</v>
      </c>
      <c r="C7" s="44" t="s">
        <v>56</v>
      </c>
      <c r="D7" s="44"/>
      <c r="E7" s="44" t="s">
        <v>369</v>
      </c>
      <c r="F7" s="44"/>
      <c r="G7" s="44" t="str">
        <f>UPPER('[3]Transferencia Documental'!$C$15)</f>
        <v>ACREDITACION DE PROGRAMAS ACADEMICOS</v>
      </c>
      <c r="H7" s="44"/>
      <c r="I7" s="44" t="str">
        <f>UPPER('[3]Transferencia Documental'!$D$20)</f>
        <v>ACREDITACION INTERNACIONAL ANTE EL ACREDITACION INTERNACIONAL ROYAL INSTITUTE OF BRITISH ARCHITECTS – RIBA (1/2)</v>
      </c>
      <c r="J7" s="44" t="s">
        <v>64</v>
      </c>
      <c r="K7" s="44">
        <v>2007</v>
      </c>
      <c r="L7" s="44" t="s">
        <v>68</v>
      </c>
      <c r="M7" s="44">
        <v>2</v>
      </c>
      <c r="N7" s="44">
        <v>148</v>
      </c>
      <c r="O7" s="44"/>
      <c r="P7" s="45" t="s">
        <v>393</v>
      </c>
      <c r="Q7" s="45" t="s">
        <v>394</v>
      </c>
      <c r="R7" s="44"/>
      <c r="S7" s="44"/>
      <c r="T7" s="44"/>
      <c r="U7" s="44"/>
      <c r="V7" s="44"/>
      <c r="W7" s="44"/>
      <c r="X7" s="44" t="s">
        <v>376</v>
      </c>
      <c r="Y7" s="44" t="s">
        <v>77</v>
      </c>
      <c r="Z7" s="44" t="s">
        <v>78</v>
      </c>
      <c r="AA7" s="44" t="s">
        <v>375</v>
      </c>
      <c r="AB7" s="44" t="s">
        <v>374</v>
      </c>
      <c r="AC7" s="44" t="s">
        <v>396</v>
      </c>
      <c r="AD7" s="44"/>
      <c r="AE7" s="44"/>
      <c r="AF7" s="44" t="s">
        <v>395</v>
      </c>
      <c r="AG7" s="44" t="s">
        <v>85</v>
      </c>
      <c r="AH7" s="44" t="str">
        <f>UPPER('[3]Transferencia Documental'!$E$20)</f>
        <v>COMUNICADOS OFICIALES, DOCUMENTO PARA LA ACREDITACION, SYLLABUS DEL PROGRAMA, CORREOS ELECTRONICOS</v>
      </c>
      <c r="AI7" s="44">
        <v>6</v>
      </c>
      <c r="AJ7" s="44" t="s">
        <v>88</v>
      </c>
      <c r="AK7" s="44" t="s">
        <v>87</v>
      </c>
      <c r="AL7" s="44" t="s">
        <v>85</v>
      </c>
      <c r="AM7" s="44" t="s">
        <v>377</v>
      </c>
      <c r="AN7" s="44" t="s">
        <v>90</v>
      </c>
      <c r="AO7" s="44"/>
      <c r="AP7" s="44" t="str">
        <f>UPPER('[3]Transferencia Documental'!$S$20)</f>
        <v>CARPETA 1 DE 2</v>
      </c>
      <c r="AQ7" s="44"/>
      <c r="AR7" s="44"/>
      <c r="AS7" s="44"/>
      <c r="AT7" s="44"/>
      <c r="AU7" s="44" t="s">
        <v>51</v>
      </c>
    </row>
    <row r="8" spans="1:47" ht="105" x14ac:dyDescent="0.2">
      <c r="A8" s="44"/>
      <c r="B8" s="44" t="s">
        <v>368</v>
      </c>
      <c r="C8" s="44" t="s">
        <v>56</v>
      </c>
      <c r="D8" s="44"/>
      <c r="E8" s="44" t="s">
        <v>369</v>
      </c>
      <c r="F8" s="44"/>
      <c r="G8" s="44" t="str">
        <f>UPPER('[3]Transferencia Documental'!$C$15)</f>
        <v>ACREDITACION DE PROGRAMAS ACADEMICOS</v>
      </c>
      <c r="H8" s="44"/>
      <c r="I8" s="44" t="str">
        <f>UPPER('[3]Transferencia Documental'!$D$21)</f>
        <v>ACREDITACION INTERNACIONAL ANTE EL ACREDITACION INTERNACIONAL ROYAL INSTITUTE OF BRITISH ARCHITECTS – RIBA (2/2)</v>
      </c>
      <c r="J8" s="44" t="s">
        <v>64</v>
      </c>
      <c r="K8" s="44">
        <v>2009</v>
      </c>
      <c r="L8" s="44" t="s">
        <v>68</v>
      </c>
      <c r="M8" s="44">
        <v>2</v>
      </c>
      <c r="N8" s="44">
        <v>116</v>
      </c>
      <c r="O8" s="44"/>
      <c r="P8" s="45" t="s">
        <v>397</v>
      </c>
      <c r="Q8" s="45" t="s">
        <v>398</v>
      </c>
      <c r="R8" s="44"/>
      <c r="S8" s="44"/>
      <c r="T8" s="44"/>
      <c r="U8" s="44"/>
      <c r="V8" s="44"/>
      <c r="W8" s="44"/>
      <c r="X8" s="44" t="s">
        <v>376</v>
      </c>
      <c r="Y8" s="44" t="s">
        <v>77</v>
      </c>
      <c r="Z8" s="44" t="s">
        <v>78</v>
      </c>
      <c r="AA8" s="44" t="s">
        <v>375</v>
      </c>
      <c r="AB8" s="44" t="s">
        <v>374</v>
      </c>
      <c r="AC8" s="44" t="s">
        <v>400</v>
      </c>
      <c r="AD8" s="44"/>
      <c r="AE8" s="44"/>
      <c r="AF8" s="44" t="s">
        <v>399</v>
      </c>
      <c r="AG8" s="44" t="s">
        <v>85</v>
      </c>
      <c r="AH8" s="44" t="str">
        <f>UPPER('[3]Transferencia Documental'!$E$21)</f>
        <v>CARTAS, RESOLUCION, CONTENIDO DE LA ACREDITACION, RECOMENDACIONES</v>
      </c>
      <c r="AI8" s="44">
        <v>7</v>
      </c>
      <c r="AJ8" s="44" t="s">
        <v>88</v>
      </c>
      <c r="AK8" s="44" t="s">
        <v>87</v>
      </c>
      <c r="AL8" s="44" t="s">
        <v>85</v>
      </c>
      <c r="AM8" s="44" t="s">
        <v>377</v>
      </c>
      <c r="AN8" s="44" t="s">
        <v>90</v>
      </c>
      <c r="AO8" s="44"/>
      <c r="AP8" s="44" t="str">
        <f>UPPER('[3]Transferencia Documental'!$S$21)</f>
        <v>FOLIO 116 INCLUYE 2 CDS E INVITACIONES</v>
      </c>
      <c r="AQ8" s="44"/>
      <c r="AR8" s="44"/>
      <c r="AS8" s="44"/>
      <c r="AT8" s="44"/>
      <c r="AU8" s="44" t="s">
        <v>51</v>
      </c>
    </row>
    <row r="9" spans="1:47" ht="75" x14ac:dyDescent="0.2">
      <c r="A9" s="44"/>
      <c r="B9" s="44" t="s">
        <v>368</v>
      </c>
      <c r="C9" s="44" t="s">
        <v>56</v>
      </c>
      <c r="D9" s="44"/>
      <c r="E9" s="44" t="s">
        <v>369</v>
      </c>
      <c r="F9" s="44"/>
      <c r="G9" s="44" t="str">
        <f>UPPER('[3]Transferencia Documental'!$C$15)</f>
        <v>ACREDITACION DE PROGRAMAS ACADEMICOS</v>
      </c>
      <c r="H9" s="44"/>
      <c r="I9" s="44" t="str">
        <f>UPPER('[3]Transferencia Documental'!$D$22)</f>
        <v xml:space="preserve">ACREDITACIÓN NACIONAL  VOLUNTARIA ANTE EL CONSEJO NACIONAL DE ACREDITACIÓN </v>
      </c>
      <c r="J9" s="44" t="s">
        <v>64</v>
      </c>
      <c r="K9" s="44">
        <v>2009</v>
      </c>
      <c r="L9" s="44" t="s">
        <v>68</v>
      </c>
      <c r="M9" s="44">
        <v>1</v>
      </c>
      <c r="N9" s="44">
        <v>82</v>
      </c>
      <c r="O9" s="44"/>
      <c r="P9" s="45" t="s">
        <v>401</v>
      </c>
      <c r="Q9" s="45" t="s">
        <v>402</v>
      </c>
      <c r="R9" s="44"/>
      <c r="S9" s="44"/>
      <c r="T9" s="44"/>
      <c r="U9" s="44"/>
      <c r="V9" s="44"/>
      <c r="W9" s="44"/>
      <c r="X9" s="44" t="s">
        <v>376</v>
      </c>
      <c r="Y9" s="44" t="s">
        <v>77</v>
      </c>
      <c r="Z9" s="44" t="s">
        <v>78</v>
      </c>
      <c r="AA9" s="44" t="s">
        <v>375</v>
      </c>
      <c r="AB9" s="44" t="s">
        <v>374</v>
      </c>
      <c r="AC9" s="44" t="s">
        <v>404</v>
      </c>
      <c r="AD9" s="44"/>
      <c r="AE9" s="44"/>
      <c r="AF9" s="44" t="s">
        <v>403</v>
      </c>
      <c r="AG9" s="44" t="s">
        <v>85</v>
      </c>
      <c r="AH9" s="44" t="str">
        <f>UPPER('[3]Transferencia Documental'!$E$22)</f>
        <v>CARTAS, CONTENIDO DE LA ACREDITACION, RECOMENDACIONES, DOCUMENTOS MAESTROS DE LA ACREDITACION VOLUNTARIA, SYLLABUS</v>
      </c>
      <c r="AI9" s="44">
        <v>8</v>
      </c>
      <c r="AJ9" s="44" t="s">
        <v>88</v>
      </c>
      <c r="AK9" s="44" t="s">
        <v>87</v>
      </c>
      <c r="AL9" s="44" t="s">
        <v>85</v>
      </c>
      <c r="AM9" s="44" t="s">
        <v>377</v>
      </c>
      <c r="AN9" s="44" t="s">
        <v>90</v>
      </c>
      <c r="AO9" s="44"/>
      <c r="AP9" s="44"/>
      <c r="AQ9" s="44"/>
      <c r="AR9" s="44"/>
      <c r="AS9" s="44"/>
      <c r="AT9" s="44"/>
      <c r="AU9" s="44" t="s">
        <v>51</v>
      </c>
    </row>
    <row r="10" spans="1:47" ht="105" x14ac:dyDescent="0.2">
      <c r="A10" s="44"/>
      <c r="B10" s="44" t="s">
        <v>368</v>
      </c>
      <c r="C10" s="44" t="s">
        <v>56</v>
      </c>
      <c r="D10" s="44"/>
      <c r="E10" s="44" t="s">
        <v>369</v>
      </c>
      <c r="F10" s="44"/>
      <c r="G10" s="44" t="str">
        <f>UPPER('[3]Transferencia Documental'!$C$15)</f>
        <v>ACREDITACION DE PROGRAMAS ACADEMICOS</v>
      </c>
      <c r="H10" s="44"/>
      <c r="I10" s="44" t="str">
        <f>UPPER('[3]Transferencia Documental'!$D$23)</f>
        <v>ACREDITACION INTERNACIONAL ANTE EL ACREDITACION INTERNACIONAL ROYAL INSTITUTE OF BRITISH ARCHITECTS – RIBA</v>
      </c>
      <c r="J10" s="44" t="s">
        <v>64</v>
      </c>
      <c r="K10" s="44">
        <v>2009</v>
      </c>
      <c r="L10" s="44" t="s">
        <v>68</v>
      </c>
      <c r="M10" s="44">
        <v>4</v>
      </c>
      <c r="N10" s="44">
        <v>37</v>
      </c>
      <c r="O10" s="44"/>
      <c r="P10" s="45" t="s">
        <v>405</v>
      </c>
      <c r="Q10" s="45" t="s">
        <v>406</v>
      </c>
      <c r="R10" s="44"/>
      <c r="S10" s="44"/>
      <c r="T10" s="44"/>
      <c r="U10" s="44"/>
      <c r="V10" s="44"/>
      <c r="W10" s="44"/>
      <c r="X10" s="44" t="s">
        <v>376</v>
      </c>
      <c r="Y10" s="44" t="s">
        <v>77</v>
      </c>
      <c r="Z10" s="44" t="s">
        <v>78</v>
      </c>
      <c r="AA10" s="44" t="s">
        <v>375</v>
      </c>
      <c r="AB10" s="44" t="s">
        <v>374</v>
      </c>
      <c r="AC10" s="44" t="s">
        <v>408</v>
      </c>
      <c r="AD10" s="44"/>
      <c r="AE10" s="44"/>
      <c r="AF10" s="44" t="s">
        <v>407</v>
      </c>
      <c r="AG10" s="44" t="s">
        <v>85</v>
      </c>
      <c r="AH10" s="44" t="str">
        <f>UPPER('[3]Transferencia Documental'!$E$23)</f>
        <v>COMUNICADOS OFICIALES, NOTAS, CARATS Y MEMORANDOS</v>
      </c>
      <c r="AI10" s="44">
        <v>9</v>
      </c>
      <c r="AJ10" s="44" t="s">
        <v>88</v>
      </c>
      <c r="AK10" s="44" t="s">
        <v>87</v>
      </c>
      <c r="AL10" s="44" t="s">
        <v>85</v>
      </c>
      <c r="AM10" s="44" t="s">
        <v>377</v>
      </c>
      <c r="AN10" s="44" t="s">
        <v>90</v>
      </c>
      <c r="AO10" s="44"/>
      <c r="AP10" s="44" t="str">
        <f>UPPER('[3]Transferencia Documental'!$S$23)</f>
        <v>FOLIO 37 UN ANILLADO</v>
      </c>
      <c r="AQ10" s="44"/>
      <c r="AR10" s="44"/>
      <c r="AS10" s="44"/>
      <c r="AT10" s="44"/>
      <c r="AU10" s="44" t="s">
        <v>51</v>
      </c>
    </row>
    <row r="11" spans="1:47" ht="75" x14ac:dyDescent="0.2">
      <c r="A11" s="44"/>
      <c r="B11" s="44" t="s">
        <v>368</v>
      </c>
      <c r="C11" s="44" t="s">
        <v>56</v>
      </c>
      <c r="D11" s="44"/>
      <c r="E11" s="44" t="s">
        <v>369</v>
      </c>
      <c r="F11" s="44"/>
      <c r="G11" s="44" t="str">
        <f>UPPER('[3]Transferencia Documental'!$C$15)</f>
        <v>ACREDITACION DE PROGRAMAS ACADEMICOS</v>
      </c>
      <c r="H11" s="44"/>
      <c r="I11" s="44" t="str">
        <f>UPPER('[3]Transferencia Documental'!$D$24)</f>
        <v xml:space="preserve">ACREDITACION NACIONAL  VOLUNTARIA ANTE EL CONSEJO NACIONAL DE ACREDITACION </v>
      </c>
      <c r="J11" s="44" t="s">
        <v>64</v>
      </c>
      <c r="K11" s="44">
        <v>2012</v>
      </c>
      <c r="L11" s="44" t="s">
        <v>68</v>
      </c>
      <c r="M11" s="44">
        <v>1</v>
      </c>
      <c r="N11" s="44">
        <v>62</v>
      </c>
      <c r="O11" s="44"/>
      <c r="P11" s="45" t="s">
        <v>409</v>
      </c>
      <c r="Q11" s="45" t="s">
        <v>410</v>
      </c>
      <c r="R11" s="44"/>
      <c r="S11" s="44"/>
      <c r="T11" s="44"/>
      <c r="U11" s="44"/>
      <c r="V11" s="44"/>
      <c r="W11" s="44"/>
      <c r="X11" s="44" t="s">
        <v>376</v>
      </c>
      <c r="Y11" s="44" t="s">
        <v>77</v>
      </c>
      <c r="Z11" s="44" t="s">
        <v>78</v>
      </c>
      <c r="AA11" s="44" t="s">
        <v>375</v>
      </c>
      <c r="AB11" s="44" t="s">
        <v>374</v>
      </c>
      <c r="AC11" s="44" t="s">
        <v>412</v>
      </c>
      <c r="AD11" s="44"/>
      <c r="AE11" s="44"/>
      <c r="AF11" s="44" t="s">
        <v>411</v>
      </c>
      <c r="AG11" s="44" t="s">
        <v>85</v>
      </c>
      <c r="AH11" s="44" t="str">
        <f>UPPER('[3]Transferencia Documental'!$E$24)</f>
        <v>DOCUMENTO MAESTRO PARA LA ACREDITACION VOLUNTARIA, CURRICULO VIGENTE DE 2008 A 2012</v>
      </c>
      <c r="AI11" s="44">
        <v>10</v>
      </c>
      <c r="AJ11" s="44" t="s">
        <v>88</v>
      </c>
      <c r="AK11" s="44" t="s">
        <v>87</v>
      </c>
      <c r="AL11" s="44" t="s">
        <v>85</v>
      </c>
      <c r="AM11" s="44" t="s">
        <v>377</v>
      </c>
      <c r="AN11" s="44" t="s">
        <v>90</v>
      </c>
      <c r="AO11" s="44"/>
      <c r="AP11" s="44"/>
      <c r="AQ11" s="44"/>
      <c r="AR11" s="44"/>
      <c r="AS11" s="44"/>
      <c r="AT11" s="44"/>
      <c r="AU11" s="44" t="s">
        <v>51</v>
      </c>
    </row>
    <row r="12" spans="1:47" ht="105" x14ac:dyDescent="0.2">
      <c r="A12" s="44"/>
      <c r="B12" s="44" t="s">
        <v>368</v>
      </c>
      <c r="C12" s="44" t="s">
        <v>56</v>
      </c>
      <c r="D12" s="44"/>
      <c r="E12" s="44" t="s">
        <v>369</v>
      </c>
      <c r="F12" s="44"/>
      <c r="G12" s="44" t="str">
        <f>UPPER('[3]Transferencia Documental'!$C$15)</f>
        <v>ACREDITACION DE PROGRAMAS ACADEMICOS</v>
      </c>
      <c r="H12" s="44"/>
      <c r="I12" s="44" t="str">
        <f>UPPER('[3]Transferencia Documental'!$D$25)</f>
        <v>ACREDITACION INTERNACIONAL ANTE EL ACREDITACION INTERNACIONAL ROYAL INSTITUTE OF BRITISH ARCHITECTS – RIBA</v>
      </c>
      <c r="J12" s="44" t="s">
        <v>64</v>
      </c>
      <c r="K12" s="44">
        <v>2013</v>
      </c>
      <c r="L12" s="44" t="s">
        <v>68</v>
      </c>
      <c r="M12" s="44">
        <v>5</v>
      </c>
      <c r="N12" s="44">
        <v>113</v>
      </c>
      <c r="O12" s="44"/>
      <c r="P12" s="45" t="s">
        <v>414</v>
      </c>
      <c r="Q12" s="45" t="s">
        <v>413</v>
      </c>
      <c r="R12" s="44"/>
      <c r="S12" s="44"/>
      <c r="T12" s="44"/>
      <c r="U12" s="44"/>
      <c r="V12" s="44"/>
      <c r="W12" s="44"/>
      <c r="X12" s="44" t="s">
        <v>376</v>
      </c>
      <c r="Y12" s="44" t="s">
        <v>77</v>
      </c>
      <c r="Z12" s="44" t="s">
        <v>78</v>
      </c>
      <c r="AA12" s="44" t="s">
        <v>375</v>
      </c>
      <c r="AB12" s="44" t="s">
        <v>374</v>
      </c>
      <c r="AC12" s="44" t="s">
        <v>416</v>
      </c>
      <c r="AD12" s="44"/>
      <c r="AE12" s="44"/>
      <c r="AF12" s="44" t="s">
        <v>415</v>
      </c>
      <c r="AG12" s="44" t="s">
        <v>85</v>
      </c>
      <c r="AH12" s="44" t="str">
        <f>UPPER('[3]Transferencia Documental'!$E$25)</f>
        <v>COMUNICADOS OFICIALES, DOCUMENTO PARA LA ACREDITACION, SYLLABUS DEL PROGRAMA, CORREOS ELECTRONICOS, RECOMENDACIONES</v>
      </c>
      <c r="AI12" s="44">
        <v>11</v>
      </c>
      <c r="AJ12" s="44" t="s">
        <v>88</v>
      </c>
      <c r="AK12" s="44" t="s">
        <v>87</v>
      </c>
      <c r="AL12" s="44" t="s">
        <v>85</v>
      </c>
      <c r="AM12" s="44" t="s">
        <v>377</v>
      </c>
      <c r="AN12" s="44" t="s">
        <v>90</v>
      </c>
      <c r="AO12" s="44"/>
      <c r="AP12" s="44"/>
      <c r="AQ12" s="44"/>
      <c r="AR12" s="44"/>
      <c r="AS12" s="44"/>
      <c r="AT12" s="44"/>
      <c r="AU12" s="44" t="s">
        <v>51</v>
      </c>
    </row>
    <row r="13" spans="1:47" ht="90" x14ac:dyDescent="0.2">
      <c r="A13" s="44"/>
      <c r="B13" s="44" t="s">
        <v>368</v>
      </c>
      <c r="C13" s="44" t="s">
        <v>56</v>
      </c>
      <c r="D13" s="44"/>
      <c r="E13" s="44" t="s">
        <v>369</v>
      </c>
      <c r="F13" s="44"/>
      <c r="G13" s="44" t="str">
        <f>UPPER('[3]Transferencia Documental'!$C$15)</f>
        <v>ACREDITACION DE PROGRAMAS ACADEMICOS</v>
      </c>
      <c r="H13" s="44"/>
      <c r="I13" s="44" t="str">
        <f>UPPER('[3]Transferencia Documental'!$D$26)</f>
        <v>ACREDITACION NACIONAL  VOLUNTARIA ANTE EL CONSEJO NACIONAL DE ACREDITACION</v>
      </c>
      <c r="J13" s="44" t="s">
        <v>64</v>
      </c>
      <c r="K13" s="44">
        <v>2014</v>
      </c>
      <c r="L13" s="44" t="s">
        <v>68</v>
      </c>
      <c r="M13" s="44">
        <v>2</v>
      </c>
      <c r="N13" s="44">
        <v>69</v>
      </c>
      <c r="O13" s="44"/>
      <c r="P13" s="45" t="s">
        <v>417</v>
      </c>
      <c r="Q13" s="45" t="s">
        <v>176</v>
      </c>
      <c r="R13" s="44"/>
      <c r="S13" s="44"/>
      <c r="T13" s="44"/>
      <c r="U13" s="44"/>
      <c r="V13" s="44"/>
      <c r="W13" s="44"/>
      <c r="X13" s="44" t="s">
        <v>376</v>
      </c>
      <c r="Y13" s="44" t="s">
        <v>77</v>
      </c>
      <c r="Z13" s="44" t="s">
        <v>78</v>
      </c>
      <c r="AA13" s="44" t="s">
        <v>79</v>
      </c>
      <c r="AB13" s="44" t="s">
        <v>420</v>
      </c>
      <c r="AC13" s="44" t="s">
        <v>419</v>
      </c>
      <c r="AD13" s="44"/>
      <c r="AE13" s="44"/>
      <c r="AF13" s="44" t="s">
        <v>418</v>
      </c>
      <c r="AG13" s="44" t="s">
        <v>85</v>
      </c>
      <c r="AH13" s="44" t="str">
        <f>UPPER('[3]Transferencia Documental'!$E$26)</f>
        <v>CARTAS, CONTENIDO DE LA ACREDITACION , RECOMENDACIONES, DOCUMENTOS MAESTOS DE LA ACREDITACION VOLUNTARIA</v>
      </c>
      <c r="AI13" s="44">
        <v>12</v>
      </c>
      <c r="AJ13" s="44" t="s">
        <v>88</v>
      </c>
      <c r="AK13" s="44" t="s">
        <v>87</v>
      </c>
      <c r="AL13" s="44" t="s">
        <v>85</v>
      </c>
      <c r="AM13" s="44" t="s">
        <v>377</v>
      </c>
      <c r="AN13" s="44" t="s">
        <v>90</v>
      </c>
      <c r="AO13" s="44"/>
      <c r="AP13" s="44" t="str">
        <f>UPPER('[3]Transferencia Documental'!$S$26)</f>
        <v xml:space="preserve">EN EL FOLIO 69 HAY 4 ANILLADOS DE LOS DOCUMENTOS MAESTROS PARA LA ACREDITACION VOLUNTARIA </v>
      </c>
      <c r="AQ13" s="44"/>
      <c r="AR13" s="44"/>
      <c r="AS13" s="44"/>
      <c r="AT13" s="44"/>
      <c r="AU13" s="44" t="s">
        <v>51</v>
      </c>
    </row>
    <row r="14" spans="1:47" ht="75" x14ac:dyDescent="0.2">
      <c r="A14" s="44"/>
      <c r="B14" s="44" t="s">
        <v>368</v>
      </c>
      <c r="C14" s="44" t="s">
        <v>56</v>
      </c>
      <c r="D14" s="44"/>
      <c r="E14" s="44" t="s">
        <v>369</v>
      </c>
      <c r="F14" s="44"/>
      <c r="G14" s="44" t="str">
        <f>UPPER('[3]Transferencia Documental'!$C$15)</f>
        <v>ACREDITACION DE PROGRAMAS ACADEMICOS</v>
      </c>
      <c r="H14" s="44"/>
      <c r="I14" s="44" t="str">
        <f>UPPER('[3]Transferencia Documental'!$D$27)</f>
        <v>ACREDITACION NACIONAL  VOLUNTARIA ANTE EL CONSEJO NACIONAL DE ACREDITACION</v>
      </c>
      <c r="J14" s="44" t="s">
        <v>64</v>
      </c>
      <c r="K14" s="44">
        <v>2014</v>
      </c>
      <c r="L14" s="44" t="s">
        <v>68</v>
      </c>
      <c r="M14" s="44">
        <v>3</v>
      </c>
      <c r="N14" s="44">
        <v>4</v>
      </c>
      <c r="O14" s="44"/>
      <c r="P14" s="45" t="s">
        <v>176</v>
      </c>
      <c r="Q14" s="45" t="s">
        <v>176</v>
      </c>
      <c r="R14" s="44"/>
      <c r="S14" s="44"/>
      <c r="T14" s="44"/>
      <c r="U14" s="44"/>
      <c r="V14" s="44"/>
      <c r="W14" s="44"/>
      <c r="X14" s="44" t="s">
        <v>376</v>
      </c>
      <c r="Y14" s="44" t="s">
        <v>77</v>
      </c>
      <c r="Z14" s="44" t="s">
        <v>78</v>
      </c>
      <c r="AA14" s="44" t="s">
        <v>79</v>
      </c>
      <c r="AB14" s="44" t="s">
        <v>420</v>
      </c>
      <c r="AC14" s="44" t="s">
        <v>422</v>
      </c>
      <c r="AD14" s="44"/>
      <c r="AE14" s="44"/>
      <c r="AF14" s="44" t="s">
        <v>421</v>
      </c>
      <c r="AG14" s="44" t="s">
        <v>85</v>
      </c>
      <c r="AH14" s="44" t="str">
        <f>UPPER('[3]Transferencia Documental'!$E$27)</f>
        <v>ACTA DE APROBACION Y RESOLUCION DE APROBACION DE LA ACREDITACION, DOCUMENTO MAESTRO</v>
      </c>
      <c r="AI14" s="44">
        <v>13</v>
      </c>
      <c r="AJ14" s="44" t="s">
        <v>88</v>
      </c>
      <c r="AK14" s="44" t="s">
        <v>87</v>
      </c>
      <c r="AL14" s="44" t="s">
        <v>85</v>
      </c>
      <c r="AM14" s="44" t="s">
        <v>377</v>
      </c>
      <c r="AN14" s="44" t="s">
        <v>90</v>
      </c>
      <c r="AO14" s="44"/>
      <c r="AP14" s="44" t="str">
        <f>UPPER('[3]Transferencia Documental'!$S$27)</f>
        <v>FOLIO 4 ANILLADO CON DOCUMENTO MAESTRO</v>
      </c>
      <c r="AQ14" s="44"/>
      <c r="AR14" s="44"/>
      <c r="AS14" s="44"/>
      <c r="AT14" s="44"/>
      <c r="AU14" s="44" t="s">
        <v>51</v>
      </c>
    </row>
    <row r="15" spans="1:47" ht="105" x14ac:dyDescent="0.2">
      <c r="A15" s="44"/>
      <c r="B15" s="44" t="s">
        <v>368</v>
      </c>
      <c r="C15" s="44" t="s">
        <v>56</v>
      </c>
      <c r="D15" s="44"/>
      <c r="E15" s="44" t="s">
        <v>369</v>
      </c>
      <c r="F15" s="44"/>
      <c r="G15" s="44" t="str">
        <f>UPPER('[3]Transferencia Documental'!$C$15)</f>
        <v>ACREDITACION DE PROGRAMAS ACADEMICOS</v>
      </c>
      <c r="H15" s="44"/>
      <c r="I15" s="44" t="str">
        <f>UPPER('[3]Transferencia Documental'!$D$28)</f>
        <v>ACREDITACION INTERNACIONAL ANTE EL ACREDITACION INTERNACIONAL ROYAL INSTITUTE OF BRITISH ARCHITECTS – RIBA</v>
      </c>
      <c r="J15" s="44" t="s">
        <v>64</v>
      </c>
      <c r="K15" s="44">
        <v>2016</v>
      </c>
      <c r="L15" s="44" t="s">
        <v>68</v>
      </c>
      <c r="M15" s="44">
        <v>6</v>
      </c>
      <c r="N15" s="44">
        <v>33</v>
      </c>
      <c r="O15" s="44"/>
      <c r="P15" s="45" t="s">
        <v>423</v>
      </c>
      <c r="Q15" s="45" t="s">
        <v>424</v>
      </c>
      <c r="R15" s="44"/>
      <c r="S15" s="44"/>
      <c r="T15" s="44"/>
      <c r="U15" s="44"/>
      <c r="V15" s="44"/>
      <c r="W15" s="44"/>
      <c r="X15" s="44" t="s">
        <v>376</v>
      </c>
      <c r="Y15" s="44" t="s">
        <v>77</v>
      </c>
      <c r="Z15" s="44" t="s">
        <v>78</v>
      </c>
      <c r="AA15" s="44" t="s">
        <v>79</v>
      </c>
      <c r="AB15" s="44" t="s">
        <v>420</v>
      </c>
      <c r="AC15" s="44" t="s">
        <v>426</v>
      </c>
      <c r="AD15" s="44"/>
      <c r="AE15" s="44"/>
      <c r="AF15" s="44" t="s">
        <v>425</v>
      </c>
      <c r="AG15" s="44" t="s">
        <v>85</v>
      </c>
      <c r="AH15" s="44" t="str">
        <f>UPPER('[3]Transferencia Documental'!$E$28)</f>
        <v>COMUNICADOS OFICIALES, DOCUMENTOS, CONTRATOS</v>
      </c>
      <c r="AI15" s="44">
        <v>14</v>
      </c>
      <c r="AJ15" s="44" t="s">
        <v>88</v>
      </c>
      <c r="AK15" s="44" t="s">
        <v>87</v>
      </c>
      <c r="AL15" s="44" t="s">
        <v>85</v>
      </c>
      <c r="AM15" s="44" t="s">
        <v>377</v>
      </c>
      <c r="AN15" s="44" t="s">
        <v>90</v>
      </c>
      <c r="AO15" s="44"/>
      <c r="AP15" s="44"/>
      <c r="AQ15" s="44"/>
      <c r="AR15" s="44"/>
      <c r="AS15" s="44"/>
      <c r="AT15" s="44"/>
      <c r="AU15" s="44" t="s">
        <v>51</v>
      </c>
    </row>
  </sheetData>
  <autoFilter ref="A1:AU15" xr:uid="{16675183-CA57-5644-AF48-AAC9CEA05A0B}"/>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f048218-2708-4f40-8ec3-cdfeca6c8d3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E13D11728EC0543ABFE634329894943" ma:contentTypeVersion="15" ma:contentTypeDescription="Create a new document." ma:contentTypeScope="" ma:versionID="4ffca4bf1dc7ef3638d8755d01c29d45">
  <xsd:schema xmlns:xsd="http://www.w3.org/2001/XMLSchema" xmlns:xs="http://www.w3.org/2001/XMLSchema" xmlns:p="http://schemas.microsoft.com/office/2006/metadata/properties" xmlns:ns3="cc831456-17fb-44a0-9a9b-17009f0eb9f1" xmlns:ns4="5f048218-2708-4f40-8ec3-cdfeca6c8d3a" targetNamespace="http://schemas.microsoft.com/office/2006/metadata/properties" ma:root="true" ma:fieldsID="5ed3aaf377b3125d502fe58536c123fc" ns3:_="" ns4:_="">
    <xsd:import namespace="cc831456-17fb-44a0-9a9b-17009f0eb9f1"/>
    <xsd:import namespace="5f048218-2708-4f40-8ec3-cdfeca6c8d3a"/>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SearchProperties" minOccurs="0"/>
                <xsd:element ref="ns4:MediaServiceObjectDetectorVersion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31456-17fb-44a0-9a9b-17009f0eb9f1"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048218-2708-4f40-8ec3-cdfeca6c8d3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AA0801-47F7-4D1D-898F-D04EEEFEA2B9}">
  <ds:schemaRefs>
    <ds:schemaRef ds:uri="http://schemas.microsoft.com/sharepoint/v3/contenttype/forms"/>
  </ds:schemaRefs>
</ds:datastoreItem>
</file>

<file path=customXml/itemProps2.xml><?xml version="1.0" encoding="utf-8"?>
<ds:datastoreItem xmlns:ds="http://schemas.openxmlformats.org/officeDocument/2006/customXml" ds:itemID="{DD4B173D-C155-4B8D-ABDF-C7E232A84B58}">
  <ds:schemaRefs>
    <ds:schemaRef ds:uri="http://schemas.microsoft.com/office/2006/metadata/properties"/>
    <ds:schemaRef ds:uri="http://schemas.microsoft.com/office/infopath/2007/PartnerControls"/>
    <ds:schemaRef ds:uri="5f048218-2708-4f40-8ec3-cdfeca6c8d3a"/>
  </ds:schemaRefs>
</ds:datastoreItem>
</file>

<file path=customXml/itemProps3.xml><?xml version="1.0" encoding="utf-8"?>
<ds:datastoreItem xmlns:ds="http://schemas.openxmlformats.org/officeDocument/2006/customXml" ds:itemID="{155C33FA-0AA0-432C-949E-DFE3E9EA40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31456-17fb-44a0-9a9b-17009f0eb9f1"/>
    <ds:schemaRef ds:uri="5f048218-2708-4f40-8ec3-cdfeca6c8d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FormatoGUIA TRDGENERAL</vt:lpstr>
      <vt:lpstr>MAESTRO_TDP_VRAC_FAC_AD_DF_2018</vt:lpstr>
      <vt:lpstr>MAESTRO_TDP_VRAC_FAC_AR_SFA2019</vt:lpstr>
      <vt:lpstr>MAESTRO_TDP_VRAC_FAC_AD_DAC2023</vt:lpstr>
      <vt:lpstr>MAESTRO_TDP_VRACFACADDEPDDI2023</vt:lpstr>
      <vt:lpstr>MAESTRO_TDP_VRACFACADPRECAR2023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Salazar</dc:creator>
  <cp:keywords/>
  <dc:description/>
  <cp:lastModifiedBy>Marcela Ipial Villamil</cp:lastModifiedBy>
  <cp:revision/>
  <dcterms:created xsi:type="dcterms:W3CDTF">2015-06-05T18:19:34Z</dcterms:created>
  <dcterms:modified xsi:type="dcterms:W3CDTF">2026-06-22T09:09:10Z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0x0101003E13D11728EC0543ABFE634329894943</vt:lpwstr>
  </property>
</Properties>
</file>